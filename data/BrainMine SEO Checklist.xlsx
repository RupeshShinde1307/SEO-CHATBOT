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O Check" sheetId="1" r:id="rId4"/>
    <sheet state="visible" name="Task " sheetId="2" r:id="rId5"/>
  </sheets>
  <definedNames/>
  <calcPr/>
</workbook>
</file>

<file path=xl/sharedStrings.xml><?xml version="1.0" encoding="utf-8"?>
<sst xmlns="http://schemas.openxmlformats.org/spreadsheetml/2006/main" count="510" uniqueCount="249">
  <si>
    <t xml:space="preserve">SEO CHECKLIST </t>
  </si>
  <si>
    <t>Difficulty</t>
  </si>
  <si>
    <t>Title</t>
  </si>
  <si>
    <t>Status</t>
  </si>
  <si>
    <t>Progress</t>
  </si>
  <si>
    <t>Type</t>
  </si>
  <si>
    <t>Tools</t>
  </si>
  <si>
    <t>Info</t>
  </si>
  <si>
    <t>Notes</t>
  </si>
  <si>
    <t>TSC - The Foundation</t>
  </si>
  <si>
    <t>Easy</t>
  </si>
  <si>
    <t>Check &amp; Set Up Google Analytics</t>
  </si>
  <si>
    <t>✎</t>
  </si>
  <si>
    <t>Google Analytics</t>
  </si>
  <si>
    <t>yes</t>
  </si>
  <si>
    <t>Check &amp; Set Up Google Search Console (GSC)</t>
  </si>
  <si>
    <t>Google Search Console (GSC)</t>
  </si>
  <si>
    <r>
      <rPr>
        <rFont val="Arial"/>
        <color theme="1"/>
        <sz val="12.0"/>
      </rPr>
      <t xml:space="preserve">Check &amp; Install an SEO Solution for Your Website </t>
    </r>
    <r>
      <rPr>
        <rFont val="Arial"/>
        <color rgb="FF6AA84F"/>
        <sz val="12.0"/>
      </rPr>
      <t>(SEO Plugin)</t>
    </r>
  </si>
  <si>
    <t>All In One SEO Wp Plugin</t>
  </si>
  <si>
    <t>Medium</t>
  </si>
  <si>
    <t>Set Up Uptime Monitoring</t>
  </si>
  <si>
    <t>UptimeRobot</t>
  </si>
  <si>
    <t>VIDEO</t>
  </si>
  <si>
    <t>Check for About, Contact, Privacy Policy and TOS Pages</t>
  </si>
  <si>
    <t>Manual</t>
  </si>
  <si>
    <t>BLOG</t>
  </si>
  <si>
    <t>Set Up Keyword Rank Tracking</t>
  </si>
  <si>
    <t>Ahrefs, Serprobot, Seranking</t>
  </si>
  <si>
    <t>TSC - User Experience</t>
  </si>
  <si>
    <t>Check for Pretty Permalinks</t>
  </si>
  <si>
    <t>Check the Site is Mobile Friendly</t>
  </si>
  <si>
    <t>✪</t>
  </si>
  <si>
    <t>Google Mobile Friendly Test</t>
  </si>
  <si>
    <t>Check the Site Loads Fast</t>
  </si>
  <si>
    <t>GTMetrix, WebPageTest.org</t>
  </si>
  <si>
    <t>Keep URLs Short</t>
  </si>
  <si>
    <t>Check and Optimize Your 404 Page</t>
  </si>
  <si>
    <t>404 Page Wp Plugin</t>
  </si>
  <si>
    <t>Make it Easy to Share Your Content</t>
  </si>
  <si>
    <t>Yoast SEO Wp Plugin - Social</t>
  </si>
  <si>
    <t>Claim Your Brand on Multiple Social Networks</t>
  </si>
  <si>
    <t xml:space="preserve">Use Heatmaps to See What Users Actually See </t>
  </si>
  <si>
    <t>Hotjar, Plerdy, CrazyEgg</t>
  </si>
  <si>
    <t>TSC - Performance</t>
  </si>
  <si>
    <t>Use a Top-Performing Web Host</t>
  </si>
  <si>
    <t>Cloudways, Siteground, Kinsta</t>
  </si>
  <si>
    <t>Check The Server is Located Close to Your Service Area</t>
  </si>
  <si>
    <t>Check Host</t>
  </si>
  <si>
    <t>Use a CDN</t>
  </si>
  <si>
    <t>BunnyCDN, Cloudflare, KeyCDN</t>
  </si>
  <si>
    <t>Check for GZIP Compression</t>
  </si>
  <si>
    <t>Varvy, GiftofSpeed</t>
  </si>
  <si>
    <t>n/a</t>
  </si>
  <si>
    <t>Check for HTTP/2</t>
  </si>
  <si>
    <t>HTTP2 Pro, KeyCDN tools</t>
  </si>
  <si>
    <t>TOOL</t>
  </si>
  <si>
    <t>Use a Caching Solution</t>
  </si>
  <si>
    <t>WpRocket</t>
  </si>
  <si>
    <t>Minify JS/CSS Files</t>
  </si>
  <si>
    <t>Resize Large Images at Upload</t>
  </si>
  <si>
    <t>Shortpixel, Imagify</t>
  </si>
  <si>
    <t>Compress and Optimize images</t>
  </si>
  <si>
    <t>Lazy Load Images &amp; Iframes(YouTube embeds, etc)</t>
  </si>
  <si>
    <t>WpRocket, Shortpixel AI</t>
  </si>
  <si>
    <t>Update Technology</t>
  </si>
  <si>
    <t>Manual, ManageWp</t>
  </si>
  <si>
    <t>N/A</t>
  </si>
  <si>
    <t>Optimize Database</t>
  </si>
  <si>
    <t>Manual, WpRocket</t>
  </si>
  <si>
    <t>TSC - Technical SEO</t>
  </si>
  <si>
    <t>Check for https</t>
  </si>
  <si>
    <t>HttpStatus</t>
  </si>
  <si>
    <t>Check for One Single www Version</t>
  </si>
  <si>
    <t>Fix mixed content</t>
  </si>
  <si>
    <t>JitBit</t>
  </si>
  <si>
    <t>Create a Sitemap &amp; Add it to Google Search Console(GSC)</t>
  </si>
  <si>
    <t>Create a robots.txt File</t>
  </si>
  <si>
    <t>Check that URLs have redirects to / or the canonical is set to /</t>
  </si>
  <si>
    <t>🕷</t>
  </si>
  <si>
    <t>Sitebulb, ScreamingFrog</t>
  </si>
  <si>
    <t>Check and Fix Broken Links</t>
  </si>
  <si>
    <t>Check and Fix Redirect Chains</t>
  </si>
  <si>
    <t>Fix Missing and Duplicate Meta Titles and Descriptions</t>
  </si>
  <si>
    <t>Use Redirects Properly</t>
  </si>
  <si>
    <t>Redirection, RankMath, Yoast Wp</t>
  </si>
  <si>
    <t>Check for Index Coverage Issues</t>
  </si>
  <si>
    <t>GSC</t>
  </si>
  <si>
    <t>Google Search Console</t>
  </si>
  <si>
    <t>Check for Manual Penalties</t>
  </si>
  <si>
    <t>Keep Pages at Maximum 3 Clicks from Reach</t>
  </si>
  <si>
    <t>Use "noindex" and "nofollow" Tags Properly</t>
  </si>
  <si>
    <t>Disable Irrelevant Pages from Being Indexed</t>
  </si>
  <si>
    <t>TSC - Content</t>
  </si>
  <si>
    <t>Have a Solid SEO Content Strategy</t>
  </si>
  <si>
    <t>15 min Content Calendar Swipe File</t>
  </si>
  <si>
    <r>
      <rPr>
        <rFont val="Arial"/>
        <color rgb="FF1155CC"/>
        <sz val="10.0"/>
        <u/>
      </rPr>
      <t>🠆🠆🠆</t>
    </r>
    <r>
      <rPr>
        <rFont val="Arial"/>
        <sz val="10.0"/>
      </rPr>
      <t xml:space="preserve">   /   </t>
    </r>
    <r>
      <rPr>
        <rFont val="Arial"/>
        <color rgb="FF1155CC"/>
        <sz val="10.0"/>
        <u/>
      </rPr>
      <t>🠆🠆🠆</t>
    </r>
  </si>
  <si>
    <t>Do Keyword Research</t>
  </si>
  <si>
    <t>Ahrefs, SemRush, GSC, SurferSEO</t>
  </si>
  <si>
    <t>Create Long-Form Content</t>
  </si>
  <si>
    <t>SurferSEO Content Editor, Clearscope</t>
  </si>
  <si>
    <t>Create 10x Content</t>
  </si>
  <si>
    <t>Identify &amp; Fix Keyword Cannibalization</t>
  </si>
  <si>
    <t>Sitebulb, ScreamingFrog, Ahrefs</t>
  </si>
  <si>
    <t>High</t>
  </si>
  <si>
    <t>Identify and Fix Duplicate Content</t>
  </si>
  <si>
    <t>Siteliner</t>
  </si>
  <si>
    <t>Create Content Hubs</t>
  </si>
  <si>
    <t>"Feed" the Hubs with Supporting Content</t>
  </si>
  <si>
    <t>Update Content on a Regular Basis</t>
  </si>
  <si>
    <t>Add Content to Your Categories</t>
  </si>
  <si>
    <t>Build Up E-E-A-T {Experience, Expertise, Authoritativeness, and Trustworthiness}</t>
  </si>
  <si>
    <t>Outcome</t>
  </si>
  <si>
    <t>TSC - On-Page SEO</t>
  </si>
  <si>
    <t>Write for People, not for Search Engines</t>
  </si>
  <si>
    <t>Check the Target Keyword Matches User Intent</t>
  </si>
  <si>
    <t>Have the target keyword in URL, Title and Heading</t>
  </si>
  <si>
    <t>Manual, Yoast SEO Wp Plugin</t>
  </si>
  <si>
    <t>Use Focus Keyword in 1st Paragraph</t>
  </si>
  <si>
    <t>Use a Single H1 on Each Page</t>
  </si>
  <si>
    <t>Set an Enticing, yet SEO-Oriented Meta Title</t>
  </si>
  <si>
    <t>Write a Compelling Meta Description</t>
  </si>
  <si>
    <t>Use Subheadings for Content Hierarchy</t>
  </si>
  <si>
    <t>Manual, headingsMap Chrome extension</t>
  </si>
  <si>
    <t>Format and Style the Content Properly</t>
  </si>
  <si>
    <t>Manual, Yoast SEO, SurferSEO</t>
  </si>
  <si>
    <r>
      <rPr>
        <rFont val="Arial"/>
        <color theme="1"/>
        <sz val="12.0"/>
      </rPr>
      <t xml:space="preserve">Link to Relevant Inner Pages </t>
    </r>
    <r>
      <rPr>
        <rFont val="Arial"/>
        <color rgb="FF6AA84F"/>
        <sz val="12.0"/>
      </rPr>
      <t>(Internal Linking)</t>
    </r>
  </si>
  <si>
    <t>Manual, Yoast SEO Premium</t>
  </si>
  <si>
    <r>
      <rPr>
        <rFont val="Arial"/>
        <color theme="1"/>
        <sz val="12.0"/>
      </rPr>
      <t xml:space="preserve">Link out to relevant, authoritative websites </t>
    </r>
    <r>
      <rPr>
        <rFont val="Arial"/>
        <color rgb="FF6AA84F"/>
        <sz val="12.0"/>
      </rPr>
      <t>(External Linking)</t>
    </r>
  </si>
  <si>
    <t>Never Link to a Page/Website with the Same Anchor the Current Page is Targeting</t>
  </si>
  <si>
    <t>Name Your Images Properly</t>
  </si>
  <si>
    <t>Set Images Alt Text</t>
  </si>
  <si>
    <t>Check for Social Markup</t>
  </si>
  <si>
    <t>Yoast SEO Wp Plugin</t>
  </si>
  <si>
    <t>Check Dwell Time and Optimize It</t>
  </si>
  <si>
    <t>Strike for the Featured Snippet</t>
  </si>
  <si>
    <t>Don’t Over-Optimize</t>
  </si>
  <si>
    <t>TSC - Off-Page SEO</t>
  </si>
  <si>
    <t>Have a Solid Link Building Strategy</t>
  </si>
  <si>
    <t>Build Foundational Links</t>
  </si>
  <si>
    <t>Ahrefs, SemRush, BrightLocal, Whitespark</t>
  </si>
  <si>
    <t>Interlink Social Networks</t>
  </si>
  <si>
    <t>Guest Post on Niche-Related Blogs</t>
  </si>
  <si>
    <t>Ahrefs, SemRush, Mailshake</t>
  </si>
  <si>
    <t>Turn Brand Mentions into Links</t>
  </si>
  <si>
    <t>Ahrefs, Brand24, BrandMentions</t>
  </si>
  <si>
    <t>Use Social Signals to Boost your Page Rankings</t>
  </si>
  <si>
    <t>Advertising, IFTTT</t>
  </si>
  <si>
    <t>Schedule Social Posting</t>
  </si>
  <si>
    <t>CoSchedule, NelioContent, OneUp</t>
  </si>
  <si>
    <t>TSC - Local SEO</t>
  </si>
  <si>
    <t>Claim your Google My Business Listing</t>
  </si>
  <si>
    <t>Claim Your Yelp Listing</t>
  </si>
  <si>
    <t>Claim your Bing Places for Business Listing</t>
  </si>
  <si>
    <t>Optimize Listings</t>
  </si>
  <si>
    <t>Manual, LocalViking</t>
  </si>
  <si>
    <t>Get on General Relevant Directories</t>
  </si>
  <si>
    <t>Manual, Ahrefs, BrightLocal, WhiteSpark</t>
  </si>
  <si>
    <t>Get on Niche-specific Directories</t>
  </si>
  <si>
    <t>Reply to Reviews</t>
  </si>
  <si>
    <t>Reach Out for Reviews</t>
  </si>
  <si>
    <t>Manual, Google Review Link Generator</t>
  </si>
  <si>
    <t>Publish Google Posts</t>
  </si>
  <si>
    <t>Manual, OneUp, LocalViking</t>
  </si>
  <si>
    <t>Check for Site-wide NAP Details</t>
  </si>
  <si>
    <t>Have Consistent NAP Details Across the Site</t>
  </si>
  <si>
    <t>Manual, Website Crawler</t>
  </si>
  <si>
    <t>Have Consistent NAP Details on Listings &amp; Social Networks</t>
  </si>
  <si>
    <t>Manual, BrightLocal Citation Tracker</t>
  </si>
  <si>
    <t>Have a Content Strategy Targeting Local Topics</t>
  </si>
  <si>
    <t>Claim Brand Mentions from Local Sites</t>
  </si>
  <si>
    <t>Add Local Business Markup to your Homepage</t>
  </si>
  <si>
    <t>Examples</t>
  </si>
  <si>
    <r>
      <rPr>
        <rFont val="Arial"/>
        <color theme="1"/>
        <sz val="13.0"/>
      </rPr>
      <t xml:space="preserve">Check On Page Basic Example - </t>
    </r>
    <r>
      <rPr>
        <rFont val="Arial"/>
        <color rgb="FF1155CC"/>
        <sz val="13.0"/>
        <u/>
      </rPr>
      <t>Here</t>
    </r>
  </si>
  <si>
    <t>Check Off Page Basic Example - Here</t>
  </si>
  <si>
    <t>Copy This Sheet &amp; Paste in Your Project Folder</t>
  </si>
  <si>
    <t>Analyst Name</t>
  </si>
  <si>
    <t>SEO - Score</t>
  </si>
  <si>
    <t>Basic Checklist</t>
  </si>
  <si>
    <t>initial Review Date</t>
  </si>
  <si>
    <t>Last Review Date</t>
  </si>
  <si>
    <t>Website URL</t>
  </si>
  <si>
    <t>Brand Name</t>
  </si>
  <si>
    <t>Responsive Site (Mobile Friendly)</t>
  </si>
  <si>
    <t>Correct Address</t>
  </si>
  <si>
    <t>Accessible to Crawlers</t>
  </si>
  <si>
    <t>Analytics and Webmaster</t>
  </si>
  <si>
    <t>Google Analytics code</t>
  </si>
  <si>
    <t>Google Webmaster</t>
  </si>
  <si>
    <t>GA code before &lt;/head&gt;</t>
  </si>
  <si>
    <t>Bing Webmaster (Optional)</t>
  </si>
  <si>
    <t>Working email id</t>
  </si>
  <si>
    <t>Form Testing</t>
  </si>
  <si>
    <t>Thank You Page</t>
  </si>
  <si>
    <t>Form Validation</t>
  </si>
  <si>
    <t>Client email id in TO field</t>
  </si>
  <si>
    <t>Create one gmail id and use the same to receive enquiries of website for our information</t>
  </si>
  <si>
    <t>Check whether client receiving mails from website forms or not</t>
  </si>
  <si>
    <t>On-Page Checklist</t>
  </si>
  <si>
    <t>Robots.txt Implemented Correctly</t>
  </si>
  <si>
    <t>Disallow Thank You, payment, login, other important Pages</t>
  </si>
  <si>
    <t>Canonical Issue Resolved?</t>
  </si>
  <si>
    <t>Meta Tags Optimized for Each Page</t>
  </si>
  <si>
    <t>Heading Tags Optimized for Each Page</t>
  </si>
  <si>
    <t>SEO &amp; User friendly URL Structure</t>
  </si>
  <si>
    <t>If site using https:// (secured level URL) structure</t>
  </si>
  <si>
    <t>Breadcrumb Navigation</t>
  </si>
  <si>
    <t>URL redirections check</t>
  </si>
  <si>
    <t>Site Speed Test</t>
  </si>
  <si>
    <t>W3C Validated</t>
  </si>
  <si>
    <t>Nofollow on external links</t>
  </si>
  <si>
    <t>XML Sitemap on site and in Robots.txt file</t>
  </si>
  <si>
    <t>HTML Sitemap</t>
  </si>
  <si>
    <t>Phone Number Clickable</t>
  </si>
  <si>
    <t>Blog/Press Section</t>
  </si>
  <si>
    <t>Site Hierarchy / Navigation</t>
  </si>
  <si>
    <t>Customized 404 Error Page</t>
  </si>
  <si>
    <t>Favicon Implementation</t>
  </si>
  <si>
    <t>Logo should be linked to Homepage</t>
  </si>
  <si>
    <t>Schema markup</t>
  </si>
  <si>
    <t>Social media linking from website</t>
  </si>
  <si>
    <t>Add FAQs</t>
  </si>
  <si>
    <t>FAQ Schema</t>
  </si>
  <si>
    <r>
      <rPr>
        <rFont val="Calibri"/>
        <color rgb="FF000000"/>
        <sz val="12.0"/>
      </rPr>
      <t xml:space="preserve">Content Optimization (Check On Page Basic Example - </t>
    </r>
    <r>
      <rPr>
        <rFont val="Calibri"/>
        <color rgb="FF1155CC"/>
        <sz val="12.0"/>
        <u/>
      </rPr>
      <t>Here</t>
    </r>
    <r>
      <rPr>
        <rFont val="Calibri"/>
        <color rgb="FF000000"/>
        <sz val="12.0"/>
      </rPr>
      <t xml:space="preserve"> )</t>
    </r>
  </si>
  <si>
    <t>Unique Content</t>
  </si>
  <si>
    <t>Internal Linking</t>
  </si>
  <si>
    <t>ALT Tags for Images</t>
  </si>
  <si>
    <t>Keywords Density</t>
  </si>
  <si>
    <t>Keywords Cannibalization</t>
  </si>
  <si>
    <t>Bold, Strong Keywords</t>
  </si>
  <si>
    <t>H2, H3 Tags, Bullet Points</t>
  </si>
  <si>
    <t>Locations in content</t>
  </si>
  <si>
    <t>Social Share Buttons</t>
  </si>
  <si>
    <t xml:space="preserve">Use Synonyms words of targeted Keyword </t>
  </si>
  <si>
    <t>Additional Site Content</t>
  </si>
  <si>
    <t>Service Pages</t>
  </si>
  <si>
    <t>Location Pages (if required)</t>
  </si>
  <si>
    <t>FAQ Page</t>
  </si>
  <si>
    <t>Testimonial Page</t>
  </si>
  <si>
    <t>Author Page</t>
  </si>
  <si>
    <t>Product / Service Images</t>
  </si>
  <si>
    <t>Product / Service Videos</t>
  </si>
  <si>
    <t xml:space="preserve">SMO Checklist </t>
  </si>
  <si>
    <t>Correct SMO Profile URLs</t>
  </si>
  <si>
    <t>SMO Graphics</t>
  </si>
  <si>
    <t>Site URL</t>
  </si>
  <si>
    <t>Phone Number</t>
  </si>
  <si>
    <t>Consistancy in Brand Name</t>
  </si>
  <si>
    <t>Email Id</t>
  </si>
  <si>
    <t>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</si>
</sst>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0.0"/>
      <color theme="1"/>
      <name val="Arial"/>
    </font>
    <font>
      <b/>
      <sz val="20.0"/>
      <color rgb="FFFFFFFF"/>
      <name val="Arial"/>
    </font>
    <font/>
    <font>
      <b/>
      <sz val="14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sz val="14.0"/>
      <color rgb="FF000000"/>
      <name val="Arial"/>
    </font>
    <font>
      <u/>
      <sz val="10.0"/>
      <color rgb="FF1155CC"/>
      <name val="Arial"/>
    </font>
    <font>
      <sz val="12.0"/>
      <color rgb="FF000000"/>
      <name val="Arial"/>
    </font>
    <font>
      <u/>
      <sz val="10.0"/>
      <color rgb="FF0000FF"/>
      <name val="Arial"/>
    </font>
    <font>
      <sz val="10.0"/>
      <color rgb="FF000000"/>
      <name val="Roboto"/>
    </font>
    <font>
      <b/>
      <sz val="13.0"/>
      <color theme="1"/>
      <name val="Arial"/>
    </font>
    <font>
      <u/>
      <sz val="13.0"/>
      <color theme="1"/>
      <name val="Arial"/>
    </font>
    <font>
      <sz val="13.0"/>
      <color theme="1"/>
      <name val="Arial"/>
    </font>
    <font>
      <color theme="1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b/>
      <sz val="13.0"/>
      <color rgb="FF000000"/>
      <name val="Calibri"/>
    </font>
    <font>
      <b/>
      <sz val="12.0"/>
      <color rgb="FF000000"/>
      <name val="Calibri"/>
    </font>
    <font>
      <color theme="1"/>
      <name val="Arial"/>
    </font>
    <font>
      <sz val="12.0"/>
      <color rgb="FF006621"/>
      <name val="Calibri"/>
    </font>
    <font>
      <u/>
      <sz val="12.0"/>
      <color rgb="FF000000"/>
      <name val="Calibri"/>
    </font>
  </fonts>
  <fills count="4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0000FF"/>
        <bgColor rgb="FF0000FF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990000"/>
        <bgColor rgb="FF990000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  <fill>
      <patternFill patternType="solid">
        <fgColor rgb="FF134F5C"/>
        <bgColor rgb="FF134F5C"/>
      </patternFill>
    </fill>
    <fill>
      <patternFill patternType="solid">
        <fgColor rgb="FF0C343D"/>
        <bgColor rgb="FF0C343D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F9CB9C"/>
        <bgColor rgb="FFF9CB9C"/>
      </patternFill>
    </fill>
    <fill>
      <patternFill patternType="solid">
        <fgColor rgb="FF783F04"/>
        <bgColor rgb="FF783F04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E6B8AF"/>
        <bgColor rgb="FFE6B8AF"/>
      </patternFill>
    </fill>
    <fill>
      <patternFill patternType="solid">
        <fgColor rgb="FF4C1130"/>
        <bgColor rgb="FF4C1130"/>
      </patternFill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</fills>
  <borders count="6">
    <border/>
    <border>
      <left/>
      <right/>
      <top/>
      <bottom/>
    </border>
    <border>
      <left/>
      <right/>
      <top/>
    </border>
    <border>
      <left/>
      <right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1" fillId="3" fontId="1" numFmtId="0" xfId="0" applyBorder="1" applyFill="1" applyFont="1"/>
    <xf borderId="1" fillId="4" fontId="4" numFmtId="0" xfId="0" applyAlignment="1" applyBorder="1" applyFill="1" applyFont="1">
      <alignment horizontal="center"/>
    </xf>
    <xf borderId="1" fillId="4" fontId="4" numFmtId="0" xfId="0" applyBorder="1" applyFont="1"/>
    <xf borderId="4" fillId="4" fontId="4" numFmtId="0" xfId="0" applyAlignment="1" applyBorder="1" applyFont="1">
      <alignment horizontal="center"/>
    </xf>
    <xf borderId="5" fillId="0" fontId="3" numFmtId="0" xfId="0" applyBorder="1" applyFont="1"/>
    <xf borderId="1" fillId="4" fontId="5" numFmtId="0" xfId="0" applyBorder="1" applyFont="1"/>
    <xf borderId="1" fillId="4" fontId="1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horizontal="center"/>
    </xf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Alignment="1" applyBorder="1" applyFill="1" applyFont="1">
      <alignment horizontal="center"/>
    </xf>
    <xf borderId="0" fillId="0" fontId="6" numFmtId="0" xfId="0" applyFont="1"/>
    <xf borderId="1" fillId="9" fontId="1" numFmtId="0" xfId="0" applyAlignment="1" applyBorder="1" applyFill="1" applyFont="1">
      <alignment horizontal="center"/>
    </xf>
    <xf borderId="1" fillId="8" fontId="1" numFmtId="0" xfId="0" applyAlignment="1" applyBorder="1" applyFont="1">
      <alignment horizontal="center" readingOrder="0"/>
    </xf>
    <xf borderId="1" fillId="10" fontId="7" numFmtId="0" xfId="0" applyAlignment="1" applyBorder="1" applyFill="1" applyFont="1">
      <alignment horizontal="center"/>
    </xf>
    <xf borderId="0" fillId="0" fontId="1" numFmtId="0" xfId="0" applyFont="1"/>
    <xf borderId="0" fillId="0" fontId="8" numFmtId="0" xfId="0" applyFont="1"/>
    <xf borderId="0" fillId="0" fontId="1" numFmtId="0" xfId="0" applyAlignment="1" applyFont="1">
      <alignment readingOrder="0"/>
    </xf>
    <xf borderId="1" fillId="11" fontId="1" numFmtId="0" xfId="0" applyBorder="1" applyFill="1" applyFont="1"/>
    <xf borderId="0" fillId="0" fontId="6" numFmtId="0" xfId="0" applyAlignment="1" applyFont="1">
      <alignment readingOrder="0"/>
    </xf>
    <xf borderId="1" fillId="12" fontId="1" numFmtId="0" xfId="0" applyBorder="1" applyFill="1" applyFont="1"/>
    <xf borderId="0" fillId="13" fontId="6" numFmtId="0" xfId="0" applyFill="1" applyFont="1"/>
    <xf borderId="1" fillId="14" fontId="1" numFmtId="0" xfId="0" applyBorder="1" applyFill="1" applyFont="1"/>
    <xf borderId="1" fillId="14" fontId="1" numFmtId="0" xfId="0" applyAlignment="1" applyBorder="1" applyFont="1">
      <alignment horizontal="center"/>
    </xf>
    <xf borderId="1" fillId="15" fontId="1" numFmtId="0" xfId="0" applyBorder="1" applyFill="1" applyFont="1"/>
    <xf borderId="1" fillId="16" fontId="1" numFmtId="0" xfId="0" applyBorder="1" applyFill="1" applyFont="1"/>
    <xf borderId="1" fillId="17" fontId="1" numFmtId="0" xfId="0" applyBorder="1" applyFill="1" applyFont="1"/>
    <xf borderId="1" fillId="13" fontId="1" numFmtId="0" xfId="0" applyBorder="1" applyFont="1"/>
    <xf borderId="1" fillId="18" fontId="1" numFmtId="0" xfId="0" applyBorder="1" applyFill="1" applyFont="1"/>
    <xf borderId="1" fillId="18" fontId="1" numFmtId="0" xfId="0" applyAlignment="1" applyBorder="1" applyFont="1">
      <alignment horizontal="center"/>
    </xf>
    <xf borderId="1" fillId="19" fontId="1" numFmtId="0" xfId="0" applyBorder="1" applyFill="1" applyFont="1"/>
    <xf borderId="1" fillId="20" fontId="1" numFmtId="0" xfId="0" applyBorder="1" applyFill="1" applyFont="1"/>
    <xf borderId="1" fillId="21" fontId="1" numFmtId="0" xfId="0" applyBorder="1" applyFill="1" applyFont="1"/>
    <xf borderId="1" fillId="3" fontId="1" numFmtId="0" xfId="0" applyAlignment="1" applyBorder="1" applyFont="1">
      <alignment horizontal="center"/>
    </xf>
    <xf borderId="1" fillId="22" fontId="1" numFmtId="0" xfId="0" applyBorder="1" applyFill="1" applyFont="1"/>
    <xf borderId="1" fillId="10" fontId="9" numFmtId="0" xfId="0" applyAlignment="1" applyBorder="1" applyFont="1">
      <alignment horizontal="center"/>
    </xf>
    <xf borderId="1" fillId="23" fontId="1" numFmtId="0" xfId="0" applyBorder="1" applyFill="1" applyFont="1"/>
    <xf borderId="1" fillId="10" fontId="1" numFmtId="0" xfId="0" applyAlignment="1" applyBorder="1" applyFont="1">
      <alignment horizontal="center"/>
    </xf>
    <xf borderId="1" fillId="24" fontId="1" numFmtId="0" xfId="0" applyBorder="1" applyFill="1" applyFont="1"/>
    <xf borderId="1" fillId="24" fontId="1" numFmtId="0" xfId="0" applyAlignment="1" applyBorder="1" applyFont="1">
      <alignment horizontal="center"/>
    </xf>
    <xf borderId="1" fillId="25" fontId="1" numFmtId="0" xfId="0" applyBorder="1" applyFill="1" applyFont="1"/>
    <xf borderId="0" fillId="0" fontId="10" numFmtId="0" xfId="0" applyAlignment="1" applyFont="1">
      <alignment readingOrder="0"/>
    </xf>
    <xf borderId="1" fillId="26" fontId="1" numFmtId="0" xfId="0" applyBorder="1" applyFill="1" applyFont="1"/>
    <xf borderId="1" fillId="27" fontId="1" numFmtId="0" xfId="0" applyBorder="1" applyFill="1" applyFont="1"/>
    <xf borderId="0" fillId="18" fontId="6" numFmtId="0" xfId="0" applyAlignment="1" applyFont="1">
      <alignment readingOrder="0"/>
    </xf>
    <xf borderId="1" fillId="28" fontId="1" numFmtId="0" xfId="0" applyBorder="1" applyFill="1" applyFont="1"/>
    <xf borderId="1" fillId="28" fontId="1" numFmtId="0" xfId="0" applyAlignment="1" applyBorder="1" applyFont="1">
      <alignment horizontal="center"/>
    </xf>
    <xf borderId="1" fillId="29" fontId="1" numFmtId="0" xfId="0" applyBorder="1" applyFill="1" applyFont="1"/>
    <xf borderId="1" fillId="8" fontId="11" numFmtId="0" xfId="0" applyAlignment="1" applyBorder="1" applyFont="1">
      <alignment horizontal="center"/>
    </xf>
    <xf borderId="1" fillId="30" fontId="1" numFmtId="0" xfId="0" applyBorder="1" applyFill="1" applyFont="1"/>
    <xf borderId="1" fillId="31" fontId="1" numFmtId="0" xfId="0" applyBorder="1" applyFill="1" applyFont="1"/>
    <xf borderId="1" fillId="32" fontId="1" numFmtId="0" xfId="0" applyBorder="1" applyFill="1" applyFont="1"/>
    <xf borderId="1" fillId="33" fontId="1" numFmtId="0" xfId="0" applyBorder="1" applyFill="1" applyFont="1"/>
    <xf borderId="1" fillId="33" fontId="1" numFmtId="0" xfId="0" applyAlignment="1" applyBorder="1" applyFont="1">
      <alignment horizontal="center"/>
    </xf>
    <xf borderId="1" fillId="34" fontId="1" numFmtId="0" xfId="0" applyBorder="1" applyFill="1" applyFont="1"/>
    <xf borderId="1" fillId="35" fontId="1" numFmtId="0" xfId="0" applyBorder="1" applyFill="1" applyFont="1"/>
    <xf borderId="1" fillId="36" fontId="1" numFmtId="0" xfId="0" applyBorder="1" applyFill="1" applyFont="1"/>
    <xf borderId="1" fillId="37" fontId="1" numFmtId="0" xfId="0" applyBorder="1" applyFill="1" applyFont="1"/>
    <xf borderId="1" fillId="37" fontId="1" numFmtId="0" xfId="0" applyAlignment="1" applyBorder="1" applyFont="1">
      <alignment horizontal="center"/>
    </xf>
    <xf borderId="1" fillId="38" fontId="1" numFmtId="0" xfId="0" applyBorder="1" applyFill="1" applyFont="1"/>
    <xf borderId="1" fillId="39" fontId="1" numFmtId="0" xfId="0" applyBorder="1" applyFill="1" applyFont="1"/>
    <xf borderId="1" fillId="40" fontId="1" numFmtId="0" xfId="0" applyBorder="1" applyFill="1" applyFont="1"/>
    <xf borderId="0" fillId="0" fontId="1" numFmtId="0" xfId="0" applyAlignment="1" applyFont="1">
      <alignment horizontal="center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8" fontId="15" numFmtId="0" xfId="0" applyFont="1"/>
    <xf borderId="0" fillId="8" fontId="16" numFmtId="0" xfId="0" applyAlignment="1" applyFont="1">
      <alignment vertical="bottom"/>
    </xf>
    <xf borderId="0" fillId="8" fontId="17" numFmtId="0" xfId="0" applyAlignment="1" applyFont="1">
      <alignment horizontal="center" vertical="bottom"/>
    </xf>
    <xf borderId="0" fillId="41" fontId="18" numFmtId="0" xfId="0" applyAlignment="1" applyFill="1" applyFont="1">
      <alignment horizontal="center" readingOrder="0" vertical="center"/>
    </xf>
    <xf borderId="0" fillId="8" fontId="16" numFmtId="0" xfId="0" applyAlignment="1" applyFont="1">
      <alignment readingOrder="0" vertical="center"/>
    </xf>
    <xf borderId="0" fillId="18" fontId="16" numFmtId="0" xfId="0" applyAlignment="1" applyFont="1">
      <alignment vertical="bottom"/>
    </xf>
    <xf borderId="0" fillId="42" fontId="19" numFmtId="0" xfId="0" applyAlignment="1" applyFill="1" applyFont="1">
      <alignment readingOrder="0" vertical="bottom"/>
    </xf>
    <xf borderId="0" fillId="8" fontId="20" numFmtId="0" xfId="0" applyAlignment="1" applyFont="1">
      <alignment vertical="bottom"/>
    </xf>
    <xf borderId="0" fillId="43" fontId="16" numFmtId="0" xfId="0" applyAlignment="1" applyFill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readingOrder="0" vertical="bottom"/>
    </xf>
    <xf borderId="0" fillId="8" fontId="21" numFmtId="0" xfId="0" applyAlignment="1" applyFont="1">
      <alignment horizontal="center" vertical="bottom"/>
    </xf>
    <xf borderId="0" fillId="8" fontId="16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8" fontId="19" numFmtId="0" xfId="0" applyAlignment="1" applyFont="1">
      <alignment horizontal="center" vertical="bottom"/>
    </xf>
    <xf borderId="0" fillId="18" fontId="16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18" fontId="22" numFmtId="0" xfId="0" applyAlignment="1" applyFont="1">
      <alignment readingOrder="0" vertical="bottom"/>
    </xf>
    <xf borderId="0" fillId="18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2Rx5bjRLZ9I" TargetMode="External"/><Relationship Id="rId20" Type="http://schemas.openxmlformats.org/officeDocument/2006/relationships/hyperlink" Target="https://wpengine.com/support/database-optimization-best-practices/" TargetMode="External"/><Relationship Id="rId42" Type="http://schemas.openxmlformats.org/officeDocument/2006/relationships/hyperlink" Target="https://yoast.com/image-seo/" TargetMode="External"/><Relationship Id="rId41" Type="http://schemas.openxmlformats.org/officeDocument/2006/relationships/hyperlink" Target="https://www.youtube.com/watch?v=r2iV5VuPcgE" TargetMode="External"/><Relationship Id="rId22" Type="http://schemas.openxmlformats.org/officeDocument/2006/relationships/hyperlink" Target="https://httpstatus.io/" TargetMode="External"/><Relationship Id="rId44" Type="http://schemas.openxmlformats.org/officeDocument/2006/relationships/hyperlink" Target="https://docs.google.com/document/d/1t87irONTnx0v9oiOY5n61OLqQDzp1n9kW6eCKlQGHw4/edit" TargetMode="External"/><Relationship Id="rId21" Type="http://schemas.openxmlformats.org/officeDocument/2006/relationships/hyperlink" Target="https://httpstatus.io/" TargetMode="External"/><Relationship Id="rId43" Type="http://schemas.openxmlformats.org/officeDocument/2006/relationships/hyperlink" Target="https://www.youtube.com/watch?v=wP8TNhLYSJQ" TargetMode="External"/><Relationship Id="rId24" Type="http://schemas.openxmlformats.org/officeDocument/2006/relationships/hyperlink" Target="https://www.youtube.com/watch?v=ExKynNMzxJY" TargetMode="External"/><Relationship Id="rId23" Type="http://schemas.openxmlformats.org/officeDocument/2006/relationships/hyperlink" Target="https://www.jitbit.com/sslcheck/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youtube.com/watch?v=U68WYk_EI2k" TargetMode="External"/><Relationship Id="rId2" Type="http://schemas.openxmlformats.org/officeDocument/2006/relationships/hyperlink" Target="https://www.gotchseo.com/does-google-trust-your-website/" TargetMode="External"/><Relationship Id="rId3" Type="http://schemas.openxmlformats.org/officeDocument/2006/relationships/hyperlink" Target="https://www.youtube.com/watch?v=QXwLF-cHwDU" TargetMode="External"/><Relationship Id="rId4" Type="http://schemas.openxmlformats.org/officeDocument/2006/relationships/hyperlink" Target="https://www.youtube.com/watch?app=desktop&amp;v=Vn2YUMZ8nAk" TargetMode="External"/><Relationship Id="rId9" Type="http://schemas.openxmlformats.org/officeDocument/2006/relationships/hyperlink" Target="https://www.youtube.com/watch?v=5dyn03RSWVA" TargetMode="External"/><Relationship Id="rId26" Type="http://schemas.openxmlformats.org/officeDocument/2006/relationships/hyperlink" Target="https://www.youtube.com/watch?v=pQp00sqXmLA" TargetMode="External"/><Relationship Id="rId25" Type="http://schemas.openxmlformats.org/officeDocument/2006/relationships/hyperlink" Target="https://www.youtube.com/watch?v=4bHFqDrPZrU" TargetMode="External"/><Relationship Id="rId28" Type="http://schemas.openxmlformats.org/officeDocument/2006/relationships/hyperlink" Target="https://www.youtube.com/watch?v=L0UqvdHJaXE" TargetMode="External"/><Relationship Id="rId27" Type="http://schemas.openxmlformats.org/officeDocument/2006/relationships/hyperlink" Target="https://www.youtube.com/watch?v=hF6VqrpPp8Q" TargetMode="External"/><Relationship Id="rId5" Type="http://schemas.openxmlformats.org/officeDocument/2006/relationships/hyperlink" Target="https://gtmetrix.com/" TargetMode="External"/><Relationship Id="rId6" Type="http://schemas.openxmlformats.org/officeDocument/2006/relationships/hyperlink" Target="https://neilpatel.com/blog/seo-urls/" TargetMode="External"/><Relationship Id="rId29" Type="http://schemas.openxmlformats.org/officeDocument/2006/relationships/hyperlink" Target="https://support.google.com/webmasters/answer/9044175" TargetMode="External"/><Relationship Id="rId7" Type="http://schemas.openxmlformats.org/officeDocument/2006/relationships/hyperlink" Target="https://wordpress.org/plugins/404page/" TargetMode="External"/><Relationship Id="rId8" Type="http://schemas.openxmlformats.org/officeDocument/2006/relationships/hyperlink" Target="https://yoast.com/social-media-optimization-with-yoast-seo/" TargetMode="External"/><Relationship Id="rId31" Type="http://schemas.openxmlformats.org/officeDocument/2006/relationships/hyperlink" Target="https://www.youtube.com/watch?v=rjRtd3BgVp8" TargetMode="External"/><Relationship Id="rId30" Type="http://schemas.openxmlformats.org/officeDocument/2006/relationships/hyperlink" Target="https://www.youtube.com/watch?v=27D6QoMLjkU" TargetMode="External"/><Relationship Id="rId11" Type="http://schemas.openxmlformats.org/officeDocument/2006/relationships/hyperlink" Target="https://www.youtube.com/watch?v=4COpHzXAwlU" TargetMode="External"/><Relationship Id="rId33" Type="http://schemas.openxmlformats.org/officeDocument/2006/relationships/hyperlink" Target="https://www.youtube.com/watch?v=x5IJ0APR0EQ" TargetMode="External"/><Relationship Id="rId10" Type="http://schemas.openxmlformats.org/officeDocument/2006/relationships/hyperlink" Target="https://www.youtube.com/watch?v=5tDsV29aMKU" TargetMode="External"/><Relationship Id="rId32" Type="http://schemas.openxmlformats.org/officeDocument/2006/relationships/hyperlink" Target="https://blog.hubspot.com/marketing/seo-strategy" TargetMode="External"/><Relationship Id="rId13" Type="http://schemas.openxmlformats.org/officeDocument/2006/relationships/hyperlink" Target="https://www.youtube.com/watch?v=wTdbQpo__B0" TargetMode="External"/><Relationship Id="rId35" Type="http://schemas.openxmlformats.org/officeDocument/2006/relationships/hyperlink" Target="https://www.youtube.com/watch?v=IX9mzdU7dps" TargetMode="External"/><Relationship Id="rId12" Type="http://schemas.openxmlformats.org/officeDocument/2006/relationships/hyperlink" Target="https://check-host.net/" TargetMode="External"/><Relationship Id="rId34" Type="http://schemas.openxmlformats.org/officeDocument/2006/relationships/hyperlink" Target="https://www.youtube.com/watch?v=Q8rN3JKqUc8" TargetMode="External"/><Relationship Id="rId15" Type="http://schemas.openxmlformats.org/officeDocument/2006/relationships/hyperlink" Target="https://kinsta.com/blog/wordpress-caching-plugins/" TargetMode="External"/><Relationship Id="rId37" Type="http://schemas.openxmlformats.org/officeDocument/2006/relationships/hyperlink" Target="https://www.youtube.com/watch?v=ouxyVaX3ncY" TargetMode="External"/><Relationship Id="rId14" Type="http://schemas.openxmlformats.org/officeDocument/2006/relationships/hyperlink" Target="https://http2.pro/" TargetMode="External"/><Relationship Id="rId36" Type="http://schemas.openxmlformats.org/officeDocument/2006/relationships/hyperlink" Target="https://www.youtube.com/watch?v=GIoZAx8upmY" TargetMode="External"/><Relationship Id="rId17" Type="http://schemas.openxmlformats.org/officeDocument/2006/relationships/hyperlink" Target="https://www.youtube.com/watch?v=hnKMqjlURCk" TargetMode="External"/><Relationship Id="rId39" Type="http://schemas.openxmlformats.org/officeDocument/2006/relationships/hyperlink" Target="https://www.youtube.com/watch?v=xOGxyw9DSa8" TargetMode="External"/><Relationship Id="rId16" Type="http://schemas.openxmlformats.org/officeDocument/2006/relationships/hyperlink" Target="https://www.youtube.com/watch?v=l9kd4jJBDNk" TargetMode="External"/><Relationship Id="rId38" Type="http://schemas.openxmlformats.org/officeDocument/2006/relationships/hyperlink" Target="https://www.youtube.com/watch?v=9dJFmpHRU-0" TargetMode="External"/><Relationship Id="rId19" Type="http://schemas.openxmlformats.org/officeDocument/2006/relationships/hyperlink" Target="https://www.youtube.com/watch?v=DKQCUhPj2dI&amp;t=82s" TargetMode="External"/><Relationship Id="rId18" Type="http://schemas.openxmlformats.org/officeDocument/2006/relationships/hyperlink" Target="https://www.youtube.com/watch?v=hnKMqjlURC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87irONTnx0v9oiOY5n61OLqQDzp1n9kW6eCKlQGHw4/edit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5.0"/>
    <col customWidth="1" min="3" max="3" width="74.75"/>
    <col customWidth="1" min="5" max="5" width="7.13"/>
    <col customWidth="1" min="6" max="6" width="15.0"/>
    <col customWidth="1" min="8" max="8" width="30.75"/>
  </cols>
  <sheetData>
    <row r="1" ht="15.75" customHeight="1">
      <c r="A1" s="1"/>
      <c r="B1" s="2"/>
      <c r="C1" s="3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5.75" customHeight="1">
      <c r="A2" s="1"/>
      <c r="B2" s="2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5.75" customHeight="1">
      <c r="A3" s="5"/>
      <c r="B3" s="6" t="s">
        <v>1</v>
      </c>
      <c r="C3" s="7" t="s">
        <v>2</v>
      </c>
      <c r="D3" s="6" t="s">
        <v>3</v>
      </c>
      <c r="E3" s="8" t="s">
        <v>4</v>
      </c>
      <c r="F3" s="9"/>
      <c r="G3" s="6" t="s">
        <v>5</v>
      </c>
      <c r="H3" s="7" t="s">
        <v>6</v>
      </c>
      <c r="I3" s="10" t="s">
        <v>7</v>
      </c>
      <c r="J3" s="10" t="s">
        <v>8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16.5" customHeight="1">
      <c r="A4" s="12"/>
      <c r="B4" s="13"/>
      <c r="C4" s="12" t="s">
        <v>9</v>
      </c>
      <c r="D4" s="12"/>
      <c r="E4" s="12"/>
      <c r="F4" s="12"/>
      <c r="G4" s="12"/>
      <c r="H4" s="12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15.75" customHeight="1">
      <c r="A5" s="15"/>
      <c r="B5" s="16" t="s">
        <v>10</v>
      </c>
      <c r="C5" s="17" t="s">
        <v>11</v>
      </c>
      <c r="D5" s="18"/>
      <c r="E5" s="19">
        <v>100.0</v>
      </c>
      <c r="F5" s="16" t="str">
        <f>IFERROR(__xludf.DUMMYFUNCTION("SPARKLINE(E5,{""charttype"", ""bar""; ""max"",100})"),"")</f>
        <v/>
      </c>
      <c r="G5" s="20" t="s">
        <v>12</v>
      </c>
      <c r="H5" s="21" t="s">
        <v>13</v>
      </c>
      <c r="I5" s="22" t="str">
        <f>HYPERLINK("https://www.youtube.com/watch?v=f3X-hYRxBL8","VIDEO")</f>
        <v>VIDEO</v>
      </c>
      <c r="J5" s="23" t="s">
        <v>14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15.75" customHeight="1">
      <c r="A6" s="15"/>
      <c r="B6" s="16" t="s">
        <v>10</v>
      </c>
      <c r="C6" s="17" t="s">
        <v>15</v>
      </c>
      <c r="D6" s="18"/>
      <c r="E6" s="19">
        <v>50.0</v>
      </c>
      <c r="F6" s="16" t="str">
        <f>IFERROR(__xludf.DUMMYFUNCTION("SPARKLINE(E6,{""charttype"", ""bar""; ""max"",100})"),"")</f>
        <v/>
      </c>
      <c r="G6" s="20" t="s">
        <v>12</v>
      </c>
      <c r="H6" s="21" t="s">
        <v>16</v>
      </c>
      <c r="I6" s="22" t="str">
        <f>HYPERLINK("https://www.youtube.com/watch?v=-l6733dDx9Q","VIDEO")</f>
        <v>VIDEO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ht="15.75" customHeight="1">
      <c r="A7" s="24"/>
      <c r="B7" s="16" t="s">
        <v>10</v>
      </c>
      <c r="C7" s="25" t="s">
        <v>17</v>
      </c>
      <c r="D7" s="18"/>
      <c r="E7" s="19">
        <v>75.0</v>
      </c>
      <c r="F7" s="16" t="str">
        <f>IFERROR(__xludf.DUMMYFUNCTION("SPARKLINE(E7,{""charttype"", ""bar""; ""max"",100})"),"")</f>
        <v/>
      </c>
      <c r="G7" s="20" t="s">
        <v>12</v>
      </c>
      <c r="H7" s="23" t="s">
        <v>18</v>
      </c>
      <c r="I7" s="22" t="str">
        <f>HYPERLINK("https://www.youtube.com/watch?v=yTOuxt56-hE","VIDEO")</f>
        <v>VIDEO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ht="15.75" customHeight="1">
      <c r="A8" s="26"/>
      <c r="B8" s="16" t="s">
        <v>19</v>
      </c>
      <c r="C8" s="27" t="s">
        <v>20</v>
      </c>
      <c r="D8" s="18"/>
      <c r="E8" s="16">
        <v>0.0</v>
      </c>
      <c r="F8" s="16" t="str">
        <f>IFERROR(__xludf.DUMMYFUNCTION("SPARKLINE(E8,{""charttype"", ""bar""; ""max"",100})"),"")</f>
        <v/>
      </c>
      <c r="G8" s="20" t="s">
        <v>12</v>
      </c>
      <c r="H8" s="21" t="s">
        <v>21</v>
      </c>
      <c r="I8" s="22" t="s">
        <v>22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ht="15.75" customHeight="1">
      <c r="A9" s="15"/>
      <c r="B9" s="16" t="s">
        <v>10</v>
      </c>
      <c r="C9" s="17" t="s">
        <v>23</v>
      </c>
      <c r="D9" s="18"/>
      <c r="E9" s="16">
        <v>75.0</v>
      </c>
      <c r="F9" s="16" t="str">
        <f>IFERROR(__xludf.DUMMYFUNCTION("SPARKLINE(E9,{""charttype"", ""bar""; ""max"",100})"),"")</f>
        <v/>
      </c>
      <c r="G9" s="20" t="s">
        <v>12</v>
      </c>
      <c r="H9" s="21" t="s">
        <v>24</v>
      </c>
      <c r="I9" s="22" t="s">
        <v>25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ht="15.75" customHeight="1">
      <c r="A10" s="24"/>
      <c r="B10" s="16" t="s">
        <v>19</v>
      </c>
      <c r="C10" s="17" t="s">
        <v>26</v>
      </c>
      <c r="D10" s="18"/>
      <c r="E10" s="16">
        <v>0.0</v>
      </c>
      <c r="F10" s="16" t="str">
        <f>IFERROR(__xludf.DUMMYFUNCTION("SPARKLINE(E10,{""charttype"", ""bar""; ""max"",100})"),"")</f>
        <v/>
      </c>
      <c r="G10" s="20" t="s">
        <v>12</v>
      </c>
      <c r="H10" s="21" t="s">
        <v>27</v>
      </c>
      <c r="I10" s="22" t="str">
        <f>HYPERLINK("https://www.youtube.com/watch?v=4xLPxGp_0sc","🠆🠆🠆")</f>
        <v>🠆🠆🠆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ht="15.75" customHeight="1">
      <c r="A11" s="28"/>
      <c r="B11" s="29"/>
      <c r="C11" s="28" t="s">
        <v>28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ht="15.75" customHeight="1">
      <c r="A12" s="30"/>
      <c r="B12" s="16" t="s">
        <v>10</v>
      </c>
      <c r="C12" s="17" t="s">
        <v>29</v>
      </c>
      <c r="D12" s="18"/>
      <c r="E12" s="16">
        <v>0.0</v>
      </c>
      <c r="F12" s="16" t="str">
        <f>IFERROR(__xludf.DUMMYFUNCTION("SPARKLINE(E12,{""charttype"", ""bar""; ""max"",100})"),"")</f>
        <v/>
      </c>
      <c r="G12" s="20" t="s">
        <v>12</v>
      </c>
      <c r="H12" s="21" t="s">
        <v>24</v>
      </c>
      <c r="I12" s="22" t="s">
        <v>22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ht="15.75" customHeight="1">
      <c r="A13" s="30"/>
      <c r="B13" s="16" t="s">
        <v>10</v>
      </c>
      <c r="C13" s="17" t="s">
        <v>30</v>
      </c>
      <c r="D13" s="18"/>
      <c r="E13" s="16">
        <v>0.0</v>
      </c>
      <c r="F13" s="16" t="str">
        <f>IFERROR(__xludf.DUMMYFUNCTION("SPARKLINE(E13,{""charttype"", ""bar""; ""max"",100})"),"")</f>
        <v/>
      </c>
      <c r="G13" s="20" t="s">
        <v>31</v>
      </c>
      <c r="H13" s="21" t="s">
        <v>32</v>
      </c>
      <c r="I13" s="22" t="s">
        <v>22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ht="15.75" customHeight="1">
      <c r="A14" s="31"/>
      <c r="B14" s="16" t="s">
        <v>10</v>
      </c>
      <c r="C14" s="17" t="s">
        <v>33</v>
      </c>
      <c r="D14" s="18"/>
      <c r="E14" s="16">
        <v>0.0</v>
      </c>
      <c r="F14" s="16" t="str">
        <f>IFERROR(__xludf.DUMMYFUNCTION("SPARKLINE(E14,{""charttype"", ""bar""; ""max"",100})"),"")</f>
        <v/>
      </c>
      <c r="G14" s="20" t="s">
        <v>31</v>
      </c>
      <c r="H14" s="21" t="s">
        <v>34</v>
      </c>
      <c r="I14" s="22" t="s">
        <v>25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ht="15.75" customHeight="1">
      <c r="A15" s="32"/>
      <c r="B15" s="16" t="s">
        <v>10</v>
      </c>
      <c r="C15" s="17" t="s">
        <v>35</v>
      </c>
      <c r="D15" s="18"/>
      <c r="E15" s="16">
        <v>0.0</v>
      </c>
      <c r="F15" s="16" t="str">
        <f>IFERROR(__xludf.DUMMYFUNCTION("SPARKLINE(E15,{""charttype"", ""bar""; ""max"",100})"),"")</f>
        <v/>
      </c>
      <c r="G15" s="20" t="s">
        <v>12</v>
      </c>
      <c r="H15" s="21" t="s">
        <v>24</v>
      </c>
      <c r="I15" s="22" t="s">
        <v>25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ht="15.75" customHeight="1">
      <c r="A16" s="32"/>
      <c r="B16" s="16" t="s">
        <v>19</v>
      </c>
      <c r="C16" s="17" t="s">
        <v>36</v>
      </c>
      <c r="D16" s="18"/>
      <c r="E16" s="16">
        <v>0.0</v>
      </c>
      <c r="F16" s="16" t="str">
        <f>IFERROR(__xludf.DUMMYFUNCTION("SPARKLINE(E16,{""charttype"", ""bar""; ""max"",100})"),"")</f>
        <v/>
      </c>
      <c r="G16" s="20" t="s">
        <v>12</v>
      </c>
      <c r="H16" s="21" t="s">
        <v>37</v>
      </c>
      <c r="I16" s="22" t="s">
        <v>25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ht="15.75" customHeight="1">
      <c r="A17" s="32"/>
      <c r="B17" s="16" t="s">
        <v>10</v>
      </c>
      <c r="C17" s="17" t="s">
        <v>38</v>
      </c>
      <c r="D17" s="18"/>
      <c r="E17" s="16">
        <v>0.0</v>
      </c>
      <c r="F17" s="16" t="str">
        <f>IFERROR(__xludf.DUMMYFUNCTION("SPARKLINE(E17,{""charttype"", ""bar""; ""max"",100})"),"")</f>
        <v/>
      </c>
      <c r="G17" s="20" t="s">
        <v>12</v>
      </c>
      <c r="H17" s="21" t="s">
        <v>39</v>
      </c>
      <c r="I17" s="22" t="s">
        <v>25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ht="15.75" customHeight="1">
      <c r="A18" s="31"/>
      <c r="B18" s="16" t="s">
        <v>19</v>
      </c>
      <c r="C18" s="17" t="s">
        <v>40</v>
      </c>
      <c r="D18" s="18"/>
      <c r="E18" s="16">
        <v>0.0</v>
      </c>
      <c r="F18" s="16" t="str">
        <f>IFERROR(__xludf.DUMMYFUNCTION("SPARKLINE(E18,{""charttype"", ""bar""; ""max"",100})"),"")</f>
        <v/>
      </c>
      <c r="G18" s="20" t="s">
        <v>12</v>
      </c>
      <c r="H18" s="21" t="s">
        <v>24</v>
      </c>
      <c r="I18" s="22" t="s">
        <v>22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ht="15.75" customHeight="1">
      <c r="A19" s="33"/>
      <c r="B19" s="16" t="s">
        <v>19</v>
      </c>
      <c r="C19" s="17" t="s">
        <v>41</v>
      </c>
      <c r="D19" s="18"/>
      <c r="E19" s="16">
        <v>0.0</v>
      </c>
      <c r="F19" s="16" t="str">
        <f>IFERROR(__xludf.DUMMYFUNCTION("SPARKLINE(E19,{""charttype"", ""bar""; ""max"",100})"),"")</f>
        <v/>
      </c>
      <c r="G19" s="20" t="s">
        <v>12</v>
      </c>
      <c r="H19" s="21" t="s">
        <v>42</v>
      </c>
      <c r="I19" s="22" t="s">
        <v>22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ht="15.75" customHeight="1">
      <c r="A20" s="34"/>
      <c r="B20" s="35"/>
      <c r="C20" s="34" t="s">
        <v>43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15.75" customHeight="1">
      <c r="A21" s="36"/>
      <c r="B21" s="16" t="s">
        <v>19</v>
      </c>
      <c r="C21" s="17" t="s">
        <v>44</v>
      </c>
      <c r="D21" s="18"/>
      <c r="E21" s="16">
        <v>0.0</v>
      </c>
      <c r="F21" s="16" t="str">
        <f>IFERROR(__xludf.DUMMYFUNCTION("SPARKLINE(E21,{""charttype"", ""bar""; ""max"",100})"),"")</f>
        <v/>
      </c>
      <c r="G21" s="20" t="s">
        <v>12</v>
      </c>
      <c r="H21" s="21" t="s">
        <v>45</v>
      </c>
      <c r="I21" s="22" t="s">
        <v>22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ht="15.75" customHeight="1">
      <c r="A22" s="36"/>
      <c r="B22" s="16" t="s">
        <v>10</v>
      </c>
      <c r="C22" s="17" t="s">
        <v>46</v>
      </c>
      <c r="D22" s="18"/>
      <c r="E22" s="16">
        <v>0.0</v>
      </c>
      <c r="F22" s="16" t="str">
        <f>IFERROR(__xludf.DUMMYFUNCTION("SPARKLINE(E22,{""charttype"", ""bar""; ""max"",100})"),"")</f>
        <v/>
      </c>
      <c r="G22" s="20" t="s">
        <v>31</v>
      </c>
      <c r="H22" s="21" t="s">
        <v>47</v>
      </c>
      <c r="I22" s="22" t="s">
        <v>25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ht="15.75" customHeight="1">
      <c r="A23" s="34"/>
      <c r="B23" s="16" t="s">
        <v>19</v>
      </c>
      <c r="C23" s="17" t="s">
        <v>48</v>
      </c>
      <c r="D23" s="18"/>
      <c r="E23" s="16">
        <v>0.0</v>
      </c>
      <c r="F23" s="16" t="str">
        <f>IFERROR(__xludf.DUMMYFUNCTION("SPARKLINE(E23,{""charttype"", ""bar""; ""max"",100})"),"")</f>
        <v/>
      </c>
      <c r="G23" s="20" t="s">
        <v>12</v>
      </c>
      <c r="H23" s="21" t="s">
        <v>49</v>
      </c>
      <c r="I23" s="22" t="s">
        <v>22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ht="15.75" customHeight="1">
      <c r="A24" s="37"/>
      <c r="B24" s="16" t="s">
        <v>10</v>
      </c>
      <c r="C24" s="17" t="s">
        <v>50</v>
      </c>
      <c r="D24" s="18"/>
      <c r="E24" s="16">
        <v>0.0</v>
      </c>
      <c r="F24" s="16" t="str">
        <f>IFERROR(__xludf.DUMMYFUNCTION("SPARKLINE(E24,{""charttype"", ""bar""; ""max"",100})"),"")</f>
        <v/>
      </c>
      <c r="G24" s="20" t="s">
        <v>31</v>
      </c>
      <c r="H24" s="21" t="s">
        <v>51</v>
      </c>
      <c r="I24" s="22" t="str">
        <f>HYPERLINK("https://varvy.com/tools/gzip/","🠆🠆🠆")</f>
        <v>🠆🠆🠆</v>
      </c>
      <c r="J24" s="21" t="s">
        <v>52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ht="15.75" customHeight="1">
      <c r="A25" s="37"/>
      <c r="B25" s="16" t="s">
        <v>10</v>
      </c>
      <c r="C25" s="17" t="s">
        <v>53</v>
      </c>
      <c r="D25" s="18"/>
      <c r="E25" s="16">
        <v>0.0</v>
      </c>
      <c r="F25" s="16" t="str">
        <f>IFERROR(__xludf.DUMMYFUNCTION("SPARKLINE(E25,{""charttype"", ""bar""; ""max"",100})"),"")</f>
        <v/>
      </c>
      <c r="G25" s="20" t="s">
        <v>31</v>
      </c>
      <c r="H25" s="21" t="s">
        <v>54</v>
      </c>
      <c r="I25" s="22" t="s">
        <v>55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ht="15.75" customHeight="1">
      <c r="A26" s="36"/>
      <c r="B26" s="16" t="s">
        <v>10</v>
      </c>
      <c r="C26" s="17" t="s">
        <v>56</v>
      </c>
      <c r="D26" s="18"/>
      <c r="E26" s="16">
        <v>0.0</v>
      </c>
      <c r="F26" s="16" t="str">
        <f>IFERROR(__xludf.DUMMYFUNCTION("SPARKLINE(E26,{""charttype"", ""bar""; ""max"",100})"),"")</f>
        <v/>
      </c>
      <c r="G26" s="20" t="s">
        <v>12</v>
      </c>
      <c r="H26" s="21" t="s">
        <v>57</v>
      </c>
      <c r="I26" s="22" t="s">
        <v>25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ht="15.75" customHeight="1">
      <c r="A27" s="37"/>
      <c r="B27" s="16" t="s">
        <v>10</v>
      </c>
      <c r="C27" s="17" t="s">
        <v>58</v>
      </c>
      <c r="D27" s="18"/>
      <c r="E27" s="16">
        <v>0.0</v>
      </c>
      <c r="F27" s="16" t="str">
        <f>IFERROR(__xludf.DUMMYFUNCTION("SPARKLINE(E27,{""charttype"", ""bar""; ""max"",100})"),"")</f>
        <v/>
      </c>
      <c r="G27" s="20" t="s">
        <v>12</v>
      </c>
      <c r="H27" s="21" t="s">
        <v>57</v>
      </c>
      <c r="I27" s="22" t="s">
        <v>22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ht="15.75" customHeight="1">
      <c r="A28" s="37"/>
      <c r="B28" s="16" t="s">
        <v>19</v>
      </c>
      <c r="C28" s="17" t="s">
        <v>59</v>
      </c>
      <c r="D28" s="18"/>
      <c r="E28" s="16">
        <v>0.0</v>
      </c>
      <c r="F28" s="16" t="str">
        <f>IFERROR(__xludf.DUMMYFUNCTION("SPARKLINE(E28,{""charttype"", ""bar""; ""max"",100})"),"")</f>
        <v/>
      </c>
      <c r="G28" s="20" t="s">
        <v>12</v>
      </c>
      <c r="H28" s="21" t="s">
        <v>60</v>
      </c>
      <c r="I28" s="22" t="s">
        <v>22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15.75" customHeight="1">
      <c r="A29" s="38"/>
      <c r="B29" s="16" t="s">
        <v>19</v>
      </c>
      <c r="C29" s="17" t="s">
        <v>61</v>
      </c>
      <c r="D29" s="18"/>
      <c r="E29" s="16">
        <v>0.0</v>
      </c>
      <c r="F29" s="16" t="str">
        <f>IFERROR(__xludf.DUMMYFUNCTION("SPARKLINE(E29,{""charttype"", ""bar""; ""max"",100})"),"")</f>
        <v/>
      </c>
      <c r="G29" s="20" t="s">
        <v>12</v>
      </c>
      <c r="H29" s="21" t="s">
        <v>60</v>
      </c>
      <c r="I29" s="22" t="s">
        <v>22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ht="15.75" customHeight="1">
      <c r="A30" s="37"/>
      <c r="B30" s="16" t="s">
        <v>19</v>
      </c>
      <c r="C30" s="17" t="s">
        <v>62</v>
      </c>
      <c r="D30" s="18"/>
      <c r="E30" s="16">
        <v>0.0</v>
      </c>
      <c r="F30" s="16" t="str">
        <f>IFERROR(__xludf.DUMMYFUNCTION("SPARKLINE(E30,{""charttype"", ""bar""; ""max"",100})"),"")</f>
        <v/>
      </c>
      <c r="G30" s="20" t="s">
        <v>12</v>
      </c>
      <c r="H30" s="21" t="s">
        <v>63</v>
      </c>
      <c r="I30" s="22" t="s">
        <v>22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ht="15.75" customHeight="1">
      <c r="A31" s="37"/>
      <c r="B31" s="16" t="s">
        <v>19</v>
      </c>
      <c r="C31" s="17" t="s">
        <v>64</v>
      </c>
      <c r="D31" s="18"/>
      <c r="E31" s="16">
        <v>0.0</v>
      </c>
      <c r="F31" s="16" t="str">
        <f>IFERROR(__xludf.DUMMYFUNCTION("SPARKLINE(E31,{""charttype"", ""bar""; ""max"",100})"),"")</f>
        <v/>
      </c>
      <c r="G31" s="20" t="s">
        <v>12</v>
      </c>
      <c r="H31" s="21" t="s">
        <v>65</v>
      </c>
      <c r="I31" s="22" t="str">
        <f>HYPERLINK("https://www.youtube.com/watch?v=eqsJPlDiupc","🠆🠆🠆")</f>
        <v>🠆🠆🠆</v>
      </c>
      <c r="J31" s="21" t="s">
        <v>66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15.75" customHeight="1">
      <c r="A32" s="37"/>
      <c r="B32" s="16" t="s">
        <v>10</v>
      </c>
      <c r="C32" s="17" t="s">
        <v>67</v>
      </c>
      <c r="D32" s="18"/>
      <c r="E32" s="16">
        <v>0.0</v>
      </c>
      <c r="F32" s="16" t="str">
        <f>IFERROR(__xludf.DUMMYFUNCTION("SPARKLINE(E32,{""charttype"", ""bar""; ""max"",100})"),"")</f>
        <v/>
      </c>
      <c r="G32" s="20" t="s">
        <v>12</v>
      </c>
      <c r="H32" s="21" t="s">
        <v>68</v>
      </c>
      <c r="I32" s="22" t="s">
        <v>25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15.75" customHeight="1">
      <c r="A33" s="5"/>
      <c r="B33" s="39"/>
      <c r="C33" s="5" t="s">
        <v>69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ht="15.75" customHeight="1">
      <c r="A34" s="1"/>
      <c r="B34" s="16" t="s">
        <v>10</v>
      </c>
      <c r="C34" s="17" t="s">
        <v>70</v>
      </c>
      <c r="D34" s="18"/>
      <c r="E34" s="16">
        <v>0.0</v>
      </c>
      <c r="F34" s="16" t="str">
        <f>IFERROR(__xludf.DUMMYFUNCTION("SPARKLINE(E34,{""charttype"", ""bar""; ""max"",100})"),"")</f>
        <v/>
      </c>
      <c r="G34" s="20" t="s">
        <v>31</v>
      </c>
      <c r="H34" s="21" t="s">
        <v>71</v>
      </c>
      <c r="I34" s="22" t="s">
        <v>55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15.75" customHeight="1">
      <c r="A35" s="1"/>
      <c r="B35" s="16" t="s">
        <v>10</v>
      </c>
      <c r="C35" s="17" t="s">
        <v>72</v>
      </c>
      <c r="D35" s="18"/>
      <c r="E35" s="16">
        <v>0.0</v>
      </c>
      <c r="F35" s="16" t="str">
        <f>IFERROR(__xludf.DUMMYFUNCTION("SPARKLINE(E35,{""charttype"", ""bar""; ""max"",100})"),"")</f>
        <v/>
      </c>
      <c r="G35" s="20" t="s">
        <v>31</v>
      </c>
      <c r="H35" s="21" t="s">
        <v>71</v>
      </c>
      <c r="I35" s="22" t="s">
        <v>55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15.75" customHeight="1">
      <c r="A36" s="1"/>
      <c r="B36" s="16" t="s">
        <v>19</v>
      </c>
      <c r="C36" s="17" t="s">
        <v>73</v>
      </c>
      <c r="D36" s="18"/>
      <c r="E36" s="16">
        <v>0.0</v>
      </c>
      <c r="F36" s="16" t="str">
        <f>IFERROR(__xludf.DUMMYFUNCTION("SPARKLINE(E36,{""charttype"", ""bar""; ""max"",100})"),"")</f>
        <v/>
      </c>
      <c r="G36" s="20" t="s">
        <v>31</v>
      </c>
      <c r="H36" s="21" t="s">
        <v>74</v>
      </c>
      <c r="I36" s="22" t="s">
        <v>55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15.75" customHeight="1">
      <c r="A37" s="40"/>
      <c r="B37" s="16" t="s">
        <v>10</v>
      </c>
      <c r="C37" s="17" t="s">
        <v>75</v>
      </c>
      <c r="D37" s="18"/>
      <c r="E37" s="16">
        <v>0.0</v>
      </c>
      <c r="F37" s="16" t="str">
        <f>IFERROR(__xludf.DUMMYFUNCTION("SPARKLINE(E37,{""charttype"", ""bar""; ""max"",100})"),"")</f>
        <v/>
      </c>
      <c r="G37" s="20" t="s">
        <v>12</v>
      </c>
      <c r="H37" s="23" t="s">
        <v>18</v>
      </c>
      <c r="I37" s="22" t="s">
        <v>22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15.75" customHeight="1">
      <c r="A38" s="40"/>
      <c r="B38" s="16" t="s">
        <v>10</v>
      </c>
      <c r="C38" s="17" t="s">
        <v>76</v>
      </c>
      <c r="D38" s="18"/>
      <c r="E38" s="16">
        <v>0.0</v>
      </c>
      <c r="F38" s="16" t="str">
        <f>IFERROR(__xludf.DUMMYFUNCTION("SPARKLINE(E38,{""charttype"", ""bar""; ""max"",100})"),"")</f>
        <v/>
      </c>
      <c r="G38" s="20" t="s">
        <v>12</v>
      </c>
      <c r="H38" s="23" t="s">
        <v>18</v>
      </c>
      <c r="I38" s="22" t="s">
        <v>22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ht="15.75" customHeight="1">
      <c r="A39" s="40"/>
      <c r="B39" s="16" t="s">
        <v>19</v>
      </c>
      <c r="C39" s="17" t="s">
        <v>77</v>
      </c>
      <c r="D39" s="18"/>
      <c r="E39" s="16">
        <v>0.0</v>
      </c>
      <c r="F39" s="16" t="str">
        <f>IFERROR(__xludf.DUMMYFUNCTION("SPARKLINE(E39,{""charttype"", ""bar""; ""max"",100})"),"")</f>
        <v/>
      </c>
      <c r="G39" s="41" t="s">
        <v>78</v>
      </c>
      <c r="H39" s="21" t="s">
        <v>79</v>
      </c>
      <c r="I39" s="22" t="s">
        <v>22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ht="15.75" customHeight="1">
      <c r="A40" s="40"/>
      <c r="B40" s="16" t="s">
        <v>19</v>
      </c>
      <c r="C40" s="17" t="s">
        <v>80</v>
      </c>
      <c r="D40" s="18"/>
      <c r="E40" s="16">
        <v>0.0</v>
      </c>
      <c r="F40" s="16" t="str">
        <f>IFERROR(__xludf.DUMMYFUNCTION("SPARKLINE(E40,{""charttype"", ""bar""; ""max"",100})"),"")</f>
        <v/>
      </c>
      <c r="G40" s="41" t="s">
        <v>78</v>
      </c>
      <c r="H40" s="21" t="s">
        <v>79</v>
      </c>
      <c r="I40" s="22" t="str">
        <f>HYPERLINK("https://www.youtube.com/watch?v=RxhpC0ryeP4","🠆🠆🠆")</f>
        <v>🠆🠆🠆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15.75" customHeight="1">
      <c r="A41" s="40"/>
      <c r="B41" s="16" t="s">
        <v>19</v>
      </c>
      <c r="C41" s="17" t="s">
        <v>81</v>
      </c>
      <c r="D41" s="18"/>
      <c r="E41" s="16">
        <v>0.0</v>
      </c>
      <c r="F41" s="16" t="str">
        <f>IFERROR(__xludf.DUMMYFUNCTION("SPARKLINE(E41,{""charttype"", ""bar""; ""max"",100})"),"")</f>
        <v/>
      </c>
      <c r="G41" s="41" t="s">
        <v>78</v>
      </c>
      <c r="H41" s="21" t="s">
        <v>79</v>
      </c>
      <c r="I41" s="22" t="str">
        <f>HYPERLINK("https://www.youtube.com/watch?v=uOchSmO-yas","🠆🠆🠆")</f>
        <v>🠆🠆🠆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ht="15.75" customHeight="1">
      <c r="A42" s="40"/>
      <c r="B42" s="16" t="s">
        <v>19</v>
      </c>
      <c r="C42" s="17" t="s">
        <v>82</v>
      </c>
      <c r="D42" s="18"/>
      <c r="E42" s="16">
        <v>0.0</v>
      </c>
      <c r="F42" s="16" t="str">
        <f>IFERROR(__xludf.DUMMYFUNCTION("SPARKLINE(E42,{""charttype"", ""bar""; ""max"",100})"),"")</f>
        <v/>
      </c>
      <c r="G42" s="41" t="s">
        <v>78</v>
      </c>
      <c r="H42" s="21" t="s">
        <v>79</v>
      </c>
      <c r="I42" s="22" t="str">
        <f>HYPERLINK("https://www.eversparkinteractive.com/are-duplicate-meta-descriptions-bad/","🠆🠆🠆")</f>
        <v>🠆🠆🠆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15.75" customHeight="1">
      <c r="A43" s="42"/>
      <c r="B43" s="16" t="s">
        <v>19</v>
      </c>
      <c r="C43" s="17" t="s">
        <v>83</v>
      </c>
      <c r="D43" s="18"/>
      <c r="E43" s="16">
        <v>0.0</v>
      </c>
      <c r="F43" s="16" t="str">
        <f>IFERROR(__xludf.DUMMYFUNCTION("SPARKLINE(E43,{""charttype"", ""bar""; ""max"",100})"),"")</f>
        <v/>
      </c>
      <c r="G43" s="20" t="s">
        <v>12</v>
      </c>
      <c r="H43" s="21" t="s">
        <v>84</v>
      </c>
      <c r="I43" s="22" t="s">
        <v>22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15.75" customHeight="1">
      <c r="A44" s="40"/>
      <c r="B44" s="16" t="s">
        <v>19</v>
      </c>
      <c r="C44" s="17" t="s">
        <v>85</v>
      </c>
      <c r="D44" s="18"/>
      <c r="E44" s="16">
        <v>0.0</v>
      </c>
      <c r="F44" s="16" t="str">
        <f>IFERROR(__xludf.DUMMYFUNCTION("SPARKLINE(E44,{""charttype"", ""bar""; ""max"",100})"),"")</f>
        <v/>
      </c>
      <c r="G44" s="43" t="s">
        <v>86</v>
      </c>
      <c r="H44" s="21" t="s">
        <v>87</v>
      </c>
      <c r="I44" s="22" t="s">
        <v>22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15.75" customHeight="1">
      <c r="A45" s="42"/>
      <c r="B45" s="16" t="s">
        <v>19</v>
      </c>
      <c r="C45" s="17" t="s">
        <v>88</v>
      </c>
      <c r="D45" s="18"/>
      <c r="E45" s="16">
        <v>0.0</v>
      </c>
      <c r="F45" s="16" t="str">
        <f>IFERROR(__xludf.DUMMYFUNCTION("SPARKLINE(E45,{""charttype"", ""bar""; ""max"",100})"),"")</f>
        <v/>
      </c>
      <c r="G45" s="43" t="s">
        <v>86</v>
      </c>
      <c r="H45" s="21" t="s">
        <v>87</v>
      </c>
      <c r="I45" s="22" t="s">
        <v>25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15.75" customHeight="1">
      <c r="A46" s="40"/>
      <c r="B46" s="16" t="s">
        <v>19</v>
      </c>
      <c r="C46" s="17" t="s">
        <v>89</v>
      </c>
      <c r="D46" s="18"/>
      <c r="E46" s="16">
        <v>0.0</v>
      </c>
      <c r="F46" s="16" t="str">
        <f>IFERROR(__xludf.DUMMYFUNCTION("SPARKLINE(E46,{""charttype"", ""bar""; ""max"",100})"),"")</f>
        <v/>
      </c>
      <c r="G46" s="41" t="s">
        <v>78</v>
      </c>
      <c r="H46" s="21" t="s">
        <v>79</v>
      </c>
      <c r="I46" s="22" t="str">
        <f>HYPERLINK("https://www.searchenginejournal.com/google-click-depth-matters-seo-url-structure/256779/","🠆🠆🠆")</f>
        <v>🠆🠆🠆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15.75" customHeight="1">
      <c r="A47" s="42"/>
      <c r="B47" s="16" t="s">
        <v>10</v>
      </c>
      <c r="C47" s="17" t="s">
        <v>90</v>
      </c>
      <c r="D47" s="18"/>
      <c r="E47" s="16">
        <v>0.0</v>
      </c>
      <c r="F47" s="16" t="str">
        <f>IFERROR(__xludf.DUMMYFUNCTION("SPARKLINE(E47,{""charttype"", ""bar""; ""max"",100})"),"")</f>
        <v/>
      </c>
      <c r="G47" s="20" t="s">
        <v>12</v>
      </c>
      <c r="H47" s="23" t="s">
        <v>18</v>
      </c>
      <c r="I47" s="22" t="s">
        <v>22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15.75" customHeight="1">
      <c r="A48" s="1"/>
      <c r="B48" s="16" t="s">
        <v>10</v>
      </c>
      <c r="C48" s="17" t="s">
        <v>91</v>
      </c>
      <c r="D48" s="18"/>
      <c r="E48" s="16">
        <v>0.0</v>
      </c>
      <c r="F48" s="16" t="str">
        <f>IFERROR(__xludf.DUMMYFUNCTION("SPARKLINE(E48,{""charttype"", ""bar""; ""max"",100})"),"")</f>
        <v/>
      </c>
      <c r="G48" s="20" t="s">
        <v>12</v>
      </c>
      <c r="H48" s="23" t="s">
        <v>18</v>
      </c>
      <c r="I48" s="22" t="s">
        <v>25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15.75" customHeight="1">
      <c r="A49" s="44"/>
      <c r="B49" s="45"/>
      <c r="C49" s="44" t="s">
        <v>92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ht="15.75" customHeight="1">
      <c r="A50" s="46"/>
      <c r="B50" s="16" t="s">
        <v>19</v>
      </c>
      <c r="C50" s="17" t="s">
        <v>93</v>
      </c>
      <c r="D50" s="18"/>
      <c r="E50" s="16">
        <v>0.0</v>
      </c>
      <c r="F50" s="16" t="str">
        <f>IFERROR(__xludf.DUMMYFUNCTION("SPARKLINE(E50,{""charttype"", ""bar""; ""max"",100})"),"")</f>
        <v/>
      </c>
      <c r="G50" s="20" t="s">
        <v>12</v>
      </c>
      <c r="H50" s="21" t="s">
        <v>94</v>
      </c>
      <c r="I50" s="47" t="s">
        <v>95</v>
      </c>
      <c r="J50" s="21" t="s">
        <v>66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15.75" customHeight="1">
      <c r="A51" s="46"/>
      <c r="B51" s="16" t="s">
        <v>10</v>
      </c>
      <c r="C51" s="17" t="s">
        <v>96</v>
      </c>
      <c r="D51" s="18"/>
      <c r="E51" s="16">
        <v>0.0</v>
      </c>
      <c r="F51" s="16" t="str">
        <f>IFERROR(__xludf.DUMMYFUNCTION("SPARKLINE(E51,{""charttype"", ""bar""; ""max"",100})"),"")</f>
        <v/>
      </c>
      <c r="G51" s="20" t="s">
        <v>12</v>
      </c>
      <c r="H51" s="21" t="s">
        <v>97</v>
      </c>
      <c r="I51" s="22" t="s">
        <v>22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15.75" customHeight="1">
      <c r="A52" s="48"/>
      <c r="B52" s="16" t="s">
        <v>19</v>
      </c>
      <c r="C52" s="17" t="s">
        <v>98</v>
      </c>
      <c r="D52" s="18"/>
      <c r="E52" s="16">
        <v>0.0</v>
      </c>
      <c r="F52" s="16" t="str">
        <f>IFERROR(__xludf.DUMMYFUNCTION("SPARKLINE(E52,{""charttype"", ""bar""; ""max"",100})"),"")</f>
        <v/>
      </c>
      <c r="G52" s="20" t="s">
        <v>12</v>
      </c>
      <c r="H52" s="21" t="s">
        <v>99</v>
      </c>
      <c r="I52" s="22" t="s">
        <v>22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15.75" customHeight="1">
      <c r="A53" s="48"/>
      <c r="B53" s="16" t="s">
        <v>19</v>
      </c>
      <c r="C53" s="17" t="s">
        <v>100</v>
      </c>
      <c r="D53" s="18"/>
      <c r="E53" s="16">
        <v>0.0</v>
      </c>
      <c r="F53" s="16" t="str">
        <f>IFERROR(__xludf.DUMMYFUNCTION("SPARKLINE(E53,{""charttype"", ""bar""; ""max"",100})"),"")</f>
        <v/>
      </c>
      <c r="G53" s="20" t="s">
        <v>12</v>
      </c>
      <c r="H53" s="21" t="s">
        <v>99</v>
      </c>
      <c r="I53" s="22" t="s">
        <v>22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15.75" customHeight="1">
      <c r="A54" s="49"/>
      <c r="B54" s="16" t="s">
        <v>19</v>
      </c>
      <c r="C54" s="17" t="s">
        <v>101</v>
      </c>
      <c r="D54" s="18"/>
      <c r="E54" s="16">
        <v>0.0</v>
      </c>
      <c r="F54" s="16" t="str">
        <f>IFERROR(__xludf.DUMMYFUNCTION("SPARKLINE(E54,{""charttype"", ""bar""; ""max"",100})"),"")</f>
        <v/>
      </c>
      <c r="G54" s="41" t="s">
        <v>78</v>
      </c>
      <c r="H54" s="21" t="s">
        <v>102</v>
      </c>
      <c r="I54" s="22" t="s">
        <v>22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15.75" customHeight="1">
      <c r="A55" s="1"/>
      <c r="B55" s="16" t="s">
        <v>103</v>
      </c>
      <c r="C55" s="17" t="s">
        <v>104</v>
      </c>
      <c r="D55" s="18"/>
      <c r="E55" s="16">
        <v>0.0</v>
      </c>
      <c r="F55" s="16" t="str">
        <f>IFERROR(__xludf.DUMMYFUNCTION("SPARKLINE(E55,{""charttype"", ""bar""; ""max"",100})"),"")</f>
        <v/>
      </c>
      <c r="G55" s="20" t="s">
        <v>31</v>
      </c>
      <c r="H55" s="21" t="s">
        <v>105</v>
      </c>
      <c r="I55" s="22" t="s">
        <v>22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15.75" customHeight="1">
      <c r="A56" s="49"/>
      <c r="B56" s="16" t="s">
        <v>19</v>
      </c>
      <c r="C56" s="17" t="s">
        <v>106</v>
      </c>
      <c r="D56" s="18"/>
      <c r="E56" s="16">
        <v>0.0</v>
      </c>
      <c r="F56" s="16" t="str">
        <f>IFERROR(__xludf.DUMMYFUNCTION("SPARKLINE(E56,{""charttype"", ""bar""; ""max"",100})"),"")</f>
        <v/>
      </c>
      <c r="G56" s="20" t="s">
        <v>12</v>
      </c>
      <c r="H56" s="21" t="s">
        <v>99</v>
      </c>
      <c r="I56" s="22" t="s">
        <v>22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ht="15.75" customHeight="1">
      <c r="A57" s="49"/>
      <c r="B57" s="16" t="s">
        <v>19</v>
      </c>
      <c r="C57" s="17" t="s">
        <v>107</v>
      </c>
      <c r="D57" s="18"/>
      <c r="E57" s="16">
        <v>0.0</v>
      </c>
      <c r="F57" s="16" t="str">
        <f>IFERROR(__xludf.DUMMYFUNCTION("SPARKLINE(E57,{""charttype"", ""bar""; ""max"",100})"),"")</f>
        <v/>
      </c>
      <c r="G57" s="20" t="s">
        <v>12</v>
      </c>
      <c r="H57" s="21" t="s">
        <v>99</v>
      </c>
      <c r="I57" s="22" t="s">
        <v>22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ht="15.75" customHeight="1">
      <c r="A58" s="48"/>
      <c r="B58" s="16" t="s">
        <v>10</v>
      </c>
      <c r="C58" s="17" t="s">
        <v>108</v>
      </c>
      <c r="D58" s="18"/>
      <c r="E58" s="16">
        <v>0.0</v>
      </c>
      <c r="F58" s="16" t="str">
        <f>IFERROR(__xludf.DUMMYFUNCTION("SPARKLINE(E58,{""charttype"", ""bar""; ""max"",100})"),"")</f>
        <v/>
      </c>
      <c r="G58" s="20" t="s">
        <v>12</v>
      </c>
      <c r="H58" s="21" t="s">
        <v>99</v>
      </c>
      <c r="I58" s="22" t="s">
        <v>22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ht="15.75" customHeight="1">
      <c r="A59" s="48"/>
      <c r="B59" s="16" t="s">
        <v>10</v>
      </c>
      <c r="C59" s="17" t="s">
        <v>109</v>
      </c>
      <c r="D59" s="18"/>
      <c r="E59" s="16">
        <v>0.0</v>
      </c>
      <c r="F59" s="16" t="str">
        <f>IFERROR(__xludf.DUMMYFUNCTION("SPARKLINE(E59,{""charttype"", ""bar""; ""max"",100})"),"")</f>
        <v/>
      </c>
      <c r="G59" s="20" t="s">
        <v>12</v>
      </c>
      <c r="H59" s="21" t="s">
        <v>24</v>
      </c>
      <c r="I59" s="22" t="str">
        <f>HYPERLINK("https://www.abrightclearweb.com/how-to-add-custom-content-to-wordpress-category-archives/","BLOG")</f>
        <v>BLOG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ht="15.75" customHeight="1">
      <c r="A60" s="48"/>
      <c r="B60" s="16" t="s">
        <v>19</v>
      </c>
      <c r="C60" s="50" t="s">
        <v>110</v>
      </c>
      <c r="D60" s="18"/>
      <c r="E60" s="16">
        <v>0.0</v>
      </c>
      <c r="F60" s="16" t="str">
        <f>IFERROR(__xludf.DUMMYFUNCTION("SPARKLINE(E60,{""charttype"", ""bar""; ""max"",100})"),"")</f>
        <v/>
      </c>
      <c r="G60" s="20" t="s">
        <v>12</v>
      </c>
      <c r="H60" s="21" t="s">
        <v>111</v>
      </c>
      <c r="I60" s="22" t="s">
        <v>22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ht="15.75" customHeight="1">
      <c r="A61" s="51"/>
      <c r="B61" s="52"/>
      <c r="C61" s="51" t="s">
        <v>112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ht="15.75" customHeight="1">
      <c r="A62" s="53"/>
      <c r="B62" s="54" t="s">
        <v>19</v>
      </c>
      <c r="C62" s="17" t="s">
        <v>113</v>
      </c>
      <c r="D62" s="18"/>
      <c r="E62" s="16">
        <v>0.0</v>
      </c>
      <c r="F62" s="16" t="str">
        <f>IFERROR(__xludf.DUMMYFUNCTION("SPARKLINE(E62,{""charttype"", ""bar""; ""max"",100})"),"")</f>
        <v/>
      </c>
      <c r="G62" s="20" t="s">
        <v>12</v>
      </c>
      <c r="H62" s="21" t="s">
        <v>99</v>
      </c>
      <c r="I62" s="22" t="str">
        <f>HYPERLINK("https://en.ryte.com/magazine/write-content-people-not-search-engines","BLOG")</f>
        <v>BLOG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ht="15.75" customHeight="1">
      <c r="A63" s="55"/>
      <c r="B63" s="16" t="s">
        <v>19</v>
      </c>
      <c r="C63" s="17" t="s">
        <v>114</v>
      </c>
      <c r="D63" s="18"/>
      <c r="E63" s="16">
        <v>0.0</v>
      </c>
      <c r="F63" s="16" t="str">
        <f>IFERROR(__xludf.DUMMYFUNCTION("SPARKLINE(E63,{""charttype"", ""bar""; ""max"",100})"),"")</f>
        <v/>
      </c>
      <c r="G63" s="20" t="s">
        <v>12</v>
      </c>
      <c r="H63" s="21" t="s">
        <v>24</v>
      </c>
      <c r="I63" s="22" t="str">
        <f>HYPERLINK("https://backlinko.com/hub/seo/search-intent","BLOG")</f>
        <v>BLOG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ht="15.75" customHeight="1">
      <c r="A64" s="55"/>
      <c r="B64" s="16" t="s">
        <v>19</v>
      </c>
      <c r="C64" s="17" t="s">
        <v>115</v>
      </c>
      <c r="D64" s="18"/>
      <c r="E64" s="16">
        <v>0.0</v>
      </c>
      <c r="F64" s="16" t="str">
        <f>IFERROR(__xludf.DUMMYFUNCTION("SPARKLINE(E64,{""charttype"", ""bar""; ""max"",100})"),"")</f>
        <v/>
      </c>
      <c r="G64" s="20" t="s">
        <v>12</v>
      </c>
      <c r="H64" s="21" t="s">
        <v>116</v>
      </c>
      <c r="I64" s="22" t="str">
        <f>HYPERLINK("https://cognitiveseo.com/blog/11701/title-influence-on-rankings/","BLOG")</f>
        <v>BLOG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ht="15.75" customHeight="1">
      <c r="A65" s="53"/>
      <c r="B65" s="16" t="s">
        <v>10</v>
      </c>
      <c r="C65" s="17" t="s">
        <v>117</v>
      </c>
      <c r="D65" s="18"/>
      <c r="E65" s="16">
        <v>0.0</v>
      </c>
      <c r="F65" s="16" t="str">
        <f>IFERROR(__xludf.DUMMYFUNCTION("SPARKLINE(E65,{""charttype"", ""bar""; ""max"",100})"),"")</f>
        <v/>
      </c>
      <c r="G65" s="20" t="s">
        <v>12</v>
      </c>
      <c r="H65" s="21" t="s">
        <v>116</v>
      </c>
      <c r="I65" s="22" t="str">
        <f>HYPERLINK("https://robpowellbizblog.com/seo-focus-keyword/","BLOG")</f>
        <v>BLOG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ht="15.75" customHeight="1">
      <c r="A66" s="55"/>
      <c r="B66" s="16" t="s">
        <v>10</v>
      </c>
      <c r="C66" s="17" t="s">
        <v>118</v>
      </c>
      <c r="D66" s="18"/>
      <c r="E66" s="16">
        <v>0.0</v>
      </c>
      <c r="F66" s="16" t="str">
        <f>IFERROR(__xludf.DUMMYFUNCTION("SPARKLINE(E66,{""charttype"", ""bar""; ""max"",100})"),"")</f>
        <v/>
      </c>
      <c r="G66" s="20" t="s">
        <v>12</v>
      </c>
      <c r="H66" s="21" t="s">
        <v>24</v>
      </c>
      <c r="I66" s="22" t="str">
        <f>HYPERLINK("https://www.youtube.com/watch?v=zyqJJXWk0gk","VIDEO")</f>
        <v>VIDEO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ht="15.75" customHeight="1">
      <c r="A67" s="56"/>
      <c r="B67" s="16" t="s">
        <v>10</v>
      </c>
      <c r="C67" s="17" t="s">
        <v>119</v>
      </c>
      <c r="D67" s="18"/>
      <c r="E67" s="16">
        <v>0.0</v>
      </c>
      <c r="F67" s="16" t="str">
        <f>IFERROR(__xludf.DUMMYFUNCTION("SPARKLINE(E67,{""charttype"", ""bar""; ""max"",100})"),"")</f>
        <v/>
      </c>
      <c r="G67" s="20" t="s">
        <v>12</v>
      </c>
      <c r="H67" s="21" t="s">
        <v>116</v>
      </c>
      <c r="I67" s="22" t="str">
        <f>HYPERLINK("https://www.youtube.com/watch?v=jqEoZsIOrYw","VIDEO")</f>
        <v>VIDEO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ht="15.75" customHeight="1">
      <c r="A68" s="56"/>
      <c r="B68" s="16" t="s">
        <v>19</v>
      </c>
      <c r="C68" s="17" t="s">
        <v>120</v>
      </c>
      <c r="D68" s="18"/>
      <c r="E68" s="16">
        <v>0.0</v>
      </c>
      <c r="F68" s="16" t="str">
        <f>IFERROR(__xludf.DUMMYFUNCTION("SPARKLINE(E68,{""charttype"", ""bar""; ""max"",100})"),"")</f>
        <v/>
      </c>
      <c r="G68" s="20" t="s">
        <v>12</v>
      </c>
      <c r="H68" s="21" t="s">
        <v>116</v>
      </c>
      <c r="I68" s="22" t="str">
        <f>HYPERLINK("https://www.youtube.com/watch?v=rqlf4sSKqew","VIDEO")</f>
        <v>VIDEO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ht="15.75" customHeight="1">
      <c r="A69" s="56"/>
      <c r="B69" s="16" t="s">
        <v>10</v>
      </c>
      <c r="C69" s="17" t="s">
        <v>121</v>
      </c>
      <c r="D69" s="18"/>
      <c r="E69" s="16">
        <v>0.0</v>
      </c>
      <c r="F69" s="16" t="str">
        <f>IFERROR(__xludf.DUMMYFUNCTION("SPARKLINE(E69,{""charttype"", ""bar""; ""max"",100})"),"")</f>
        <v/>
      </c>
      <c r="G69" s="20" t="s">
        <v>12</v>
      </c>
      <c r="H69" s="21" t="s">
        <v>122</v>
      </c>
      <c r="I69" s="22" t="str">
        <f>HYPERLINK("https://www.youtube.com/watch?v=CEl2vZXoPwI&amp;t=148s","VIDEO")</f>
        <v>VIDEO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ht="15.75" customHeight="1">
      <c r="A70" s="56"/>
      <c r="B70" s="16" t="s">
        <v>19</v>
      </c>
      <c r="C70" s="17" t="s">
        <v>123</v>
      </c>
      <c r="D70" s="18"/>
      <c r="E70" s="16">
        <v>0.0</v>
      </c>
      <c r="F70" s="16" t="str">
        <f>IFERROR(__xludf.DUMMYFUNCTION("SPARKLINE(E70,{""charttype"", ""bar""; ""max"",100})"),"")</f>
        <v/>
      </c>
      <c r="G70" s="20" t="s">
        <v>12</v>
      </c>
      <c r="H70" s="21" t="s">
        <v>124</v>
      </c>
      <c r="I70" s="22" t="str">
        <f>HYPERLINK("https://www.youtube.com/watch?v=mzPlONdwXh4","VIDEO")</f>
        <v>VIDEO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ht="15.75" customHeight="1">
      <c r="A71" s="55"/>
      <c r="B71" s="16" t="s">
        <v>19</v>
      </c>
      <c r="C71" s="25" t="s">
        <v>125</v>
      </c>
      <c r="D71" s="18"/>
      <c r="E71" s="16">
        <v>0.0</v>
      </c>
      <c r="F71" s="16" t="str">
        <f>IFERROR(__xludf.DUMMYFUNCTION("SPARKLINE(E71,{""charttype"", ""bar""; ""max"",100})"),"")</f>
        <v/>
      </c>
      <c r="G71" s="20" t="s">
        <v>12</v>
      </c>
      <c r="H71" s="21" t="s">
        <v>126</v>
      </c>
      <c r="I71" s="22" t="str">
        <f>HYPERLINK("https://www.youtube.com/watch?v=mnNj78PoxhI","VIDEO")</f>
        <v>VIDEO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ht="15.75" customHeight="1">
      <c r="A72" s="56"/>
      <c r="B72" s="16" t="s">
        <v>19</v>
      </c>
      <c r="C72" s="25" t="s">
        <v>127</v>
      </c>
      <c r="D72" s="18"/>
      <c r="E72" s="16">
        <v>0.0</v>
      </c>
      <c r="F72" s="16" t="str">
        <f>IFERROR(__xludf.DUMMYFUNCTION("SPARKLINE(E72,{""charttype"", ""bar""; ""max"",100})"),"")</f>
        <v/>
      </c>
      <c r="G72" s="20" t="s">
        <v>12</v>
      </c>
      <c r="H72" s="21" t="s">
        <v>24</v>
      </c>
      <c r="I72" s="22" t="str">
        <f>HYPERLINK("https://www.youtube.com/watch?v=KtI0Lr54ucY","VIDEO")</f>
        <v>VIDEO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ht="15.75" customHeight="1">
      <c r="A73" s="55"/>
      <c r="B73" s="16" t="s">
        <v>19</v>
      </c>
      <c r="C73" s="17" t="s">
        <v>128</v>
      </c>
      <c r="D73" s="18"/>
      <c r="E73" s="16">
        <v>0.0</v>
      </c>
      <c r="F73" s="16" t="str">
        <f>IFERROR(__xludf.DUMMYFUNCTION("SPARKLINE(E73,{""charttype"", ""bar""; ""max"",100})"),"")</f>
        <v/>
      </c>
      <c r="G73" s="20" t="s">
        <v>12</v>
      </c>
      <c r="H73" s="21" t="s">
        <v>24</v>
      </c>
      <c r="I73" s="22" t="str">
        <f>HYPERLINK("https://neilpatel.com/blog/commandments-of-internal-linking/","BLOG")</f>
        <v>BLOG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ht="15.75" customHeight="1">
      <c r="A74" s="53"/>
      <c r="B74" s="16" t="s">
        <v>10</v>
      </c>
      <c r="C74" s="25" t="s">
        <v>129</v>
      </c>
      <c r="D74" s="18"/>
      <c r="E74" s="16">
        <v>0.0</v>
      </c>
      <c r="F74" s="16" t="str">
        <f>IFERROR(__xludf.DUMMYFUNCTION("SPARKLINE(E74,{""charttype"", ""bar""; ""max"",100})"),"")</f>
        <v/>
      </c>
      <c r="G74" s="20" t="s">
        <v>12</v>
      </c>
      <c r="H74" s="21" t="s">
        <v>24</v>
      </c>
      <c r="I74" s="22" t="s">
        <v>25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ht="15.75" customHeight="1">
      <c r="A75" s="53"/>
      <c r="B75" s="16" t="s">
        <v>10</v>
      </c>
      <c r="C75" s="17" t="s">
        <v>130</v>
      </c>
      <c r="D75" s="18"/>
      <c r="E75" s="16">
        <v>0.0</v>
      </c>
      <c r="F75" s="16" t="str">
        <f>IFERROR(__xludf.DUMMYFUNCTION("SPARKLINE(E75,{""charttype"", ""bar""; ""max"",100})"),"")</f>
        <v/>
      </c>
      <c r="G75" s="20" t="s">
        <v>12</v>
      </c>
      <c r="H75" s="21" t="s">
        <v>24</v>
      </c>
      <c r="I75" s="22" t="str">
        <f>HYPERLINK("https://www.youtube.com/watch?v=x1-48EMg1iM","VIDEO")</f>
        <v>VIDEO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ht="15.75" customHeight="1">
      <c r="A76" s="53"/>
      <c r="B76" s="16" t="s">
        <v>19</v>
      </c>
      <c r="C76" s="17" t="s">
        <v>131</v>
      </c>
      <c r="D76" s="18"/>
      <c r="E76" s="16">
        <v>0.0</v>
      </c>
      <c r="F76" s="16" t="str">
        <f>IFERROR(__xludf.DUMMYFUNCTION("SPARKLINE(E76,{""charttype"", ""bar""; ""max"",100})"),"")</f>
        <v/>
      </c>
      <c r="G76" s="20" t="s">
        <v>31</v>
      </c>
      <c r="H76" s="21" t="s">
        <v>132</v>
      </c>
      <c r="I76" s="22" t="str">
        <f>HYPERLINK("https://www.youtube.com/watch?v=cXFmx1EaKhw","VIDEO")</f>
        <v>VIDEO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ht="15.75" customHeight="1">
      <c r="A77" s="53"/>
      <c r="B77" s="16" t="s">
        <v>19</v>
      </c>
      <c r="C77" s="17" t="s">
        <v>133</v>
      </c>
      <c r="D77" s="18"/>
      <c r="E77" s="16">
        <v>0.0</v>
      </c>
      <c r="F77" s="16" t="str">
        <f>IFERROR(__xludf.DUMMYFUNCTION("SPARKLINE(E77,{""charttype"", ""bar""; ""max"",100})"),"")</f>
        <v/>
      </c>
      <c r="G77" s="20" t="s">
        <v>12</v>
      </c>
      <c r="H77" s="21" t="s">
        <v>24</v>
      </c>
      <c r="I77" s="22" t="str">
        <f>HYPERLINK("https://backlinko.com/hub/seo/dwell-time","BLOG")</f>
        <v>BLOG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ht="15.75" customHeight="1">
      <c r="A78" s="57"/>
      <c r="B78" s="16" t="s">
        <v>19</v>
      </c>
      <c r="C78" s="17" t="s">
        <v>134</v>
      </c>
      <c r="D78" s="18"/>
      <c r="E78" s="16">
        <v>0.0</v>
      </c>
      <c r="F78" s="16" t="str">
        <f>IFERROR(__xludf.DUMMYFUNCTION("SPARKLINE(E78,{""charttype"", ""bar""; ""max"",100})"),"")</f>
        <v/>
      </c>
      <c r="G78" s="20" t="s">
        <v>12</v>
      </c>
      <c r="H78" s="21" t="s">
        <v>111</v>
      </c>
      <c r="I78" s="22" t="str">
        <f>HYPERLINK("https://ahrefs.com/blog/find-featured-snippets/","BLOG")</f>
        <v>BLOG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ht="15.75" customHeight="1">
      <c r="A79" s="53"/>
      <c r="B79" s="16" t="s">
        <v>10</v>
      </c>
      <c r="C79" s="17" t="s">
        <v>135</v>
      </c>
      <c r="D79" s="18"/>
      <c r="E79" s="16">
        <v>0.0</v>
      </c>
      <c r="F79" s="16" t="str">
        <f>IFERROR(__xludf.DUMMYFUNCTION("SPARKLINE(E79,{""charttype"", ""bar""; ""max"",100})"),"")</f>
        <v/>
      </c>
      <c r="G79" s="20" t="s">
        <v>12</v>
      </c>
      <c r="H79" s="21" t="s">
        <v>24</v>
      </c>
      <c r="I79" s="22" t="str">
        <f>HYPERLINK("https://www.youtube.com/watch?v=UsqwxxYEznI","VIDEO")</f>
        <v>VIDEO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ht="15.75" customHeight="1">
      <c r="A80" s="58"/>
      <c r="B80" s="59"/>
      <c r="C80" s="58" t="s">
        <v>136</v>
      </c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</row>
    <row r="81" ht="15.75" customHeight="1">
      <c r="A81" s="60"/>
      <c r="B81" s="16" t="s">
        <v>19</v>
      </c>
      <c r="C81" s="17" t="s">
        <v>137</v>
      </c>
      <c r="D81" s="18"/>
      <c r="E81" s="16">
        <v>0.0</v>
      </c>
      <c r="F81" s="16" t="str">
        <f>IFERROR(__xludf.DUMMYFUNCTION("SPARKLINE(E81,{""charttype"", ""bar""; ""max"",100})"),"")</f>
        <v/>
      </c>
      <c r="G81" s="20" t="s">
        <v>12</v>
      </c>
      <c r="H81" s="21" t="s">
        <v>97</v>
      </c>
      <c r="I81" s="22" t="str">
        <f>HYPERLINK("https://www.youtube.com/watch?v=BjT-QOqsjz4","VIDEO")</f>
        <v>VIDEO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ht="15.75" customHeight="1">
      <c r="A82" s="60"/>
      <c r="B82" s="16" t="s">
        <v>19</v>
      </c>
      <c r="C82" s="17" t="s">
        <v>138</v>
      </c>
      <c r="D82" s="18"/>
      <c r="E82" s="16">
        <v>0.0</v>
      </c>
      <c r="F82" s="16" t="str">
        <f>IFERROR(__xludf.DUMMYFUNCTION("SPARKLINE(E82,{""charttype"", ""bar""; ""max"",100})"),"")</f>
        <v/>
      </c>
      <c r="G82" s="20" t="s">
        <v>12</v>
      </c>
      <c r="H82" s="21" t="s">
        <v>139</v>
      </c>
      <c r="I82" s="22" t="str">
        <f>HYPERLINK("https://www.youtube.com/watch?v=3sF-m5LKCf4","VIDEO")</f>
        <v>VIDEO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ht="15.75" customHeight="1">
      <c r="A83" s="61"/>
      <c r="B83" s="16" t="s">
        <v>10</v>
      </c>
      <c r="C83" s="17" t="s">
        <v>140</v>
      </c>
      <c r="D83" s="18"/>
      <c r="E83" s="16">
        <v>0.0</v>
      </c>
      <c r="F83" s="16" t="str">
        <f>IFERROR(__xludf.DUMMYFUNCTION("SPARKLINE(E83,{""charttype"", ""bar""; ""max"",100})"),"")</f>
        <v/>
      </c>
      <c r="G83" s="20" t="s">
        <v>12</v>
      </c>
      <c r="H83" s="21" t="s">
        <v>24</v>
      </c>
      <c r="I83" s="22" t="str">
        <f>HYPERLINK("https://www.searchenginewatch.com/2013/12/02/how-to-build-links-to-your-social-profiles/","BLOG")</f>
        <v>BLOG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ht="15.75" customHeight="1">
      <c r="A84" s="62"/>
      <c r="B84" s="16" t="s">
        <v>103</v>
      </c>
      <c r="C84" s="17" t="s">
        <v>141</v>
      </c>
      <c r="D84" s="18"/>
      <c r="E84" s="16">
        <v>0.0</v>
      </c>
      <c r="F84" s="16" t="str">
        <f>IFERROR(__xludf.DUMMYFUNCTION("SPARKLINE(E84,{""charttype"", ""bar""; ""max"",100})"),"")</f>
        <v/>
      </c>
      <c r="G84" s="20" t="s">
        <v>12</v>
      </c>
      <c r="H84" s="21" t="s">
        <v>142</v>
      </c>
      <c r="I84" s="22" t="str">
        <f>HYPERLINK("https://www.youtube.com/watch?v=aQK1Vbgb-RY","VIDEO")</f>
        <v>VIDEO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ht="15.75" customHeight="1">
      <c r="A85" s="48"/>
      <c r="B85" s="16" t="s">
        <v>19</v>
      </c>
      <c r="C85" s="17" t="s">
        <v>143</v>
      </c>
      <c r="D85" s="18"/>
      <c r="E85" s="16">
        <v>0.0</v>
      </c>
      <c r="F85" s="16" t="str">
        <f>IFERROR(__xludf.DUMMYFUNCTION("SPARKLINE(E85,{""charttype"", ""bar""; ""max"",100})"),"")</f>
        <v/>
      </c>
      <c r="G85" s="20" t="s">
        <v>31</v>
      </c>
      <c r="H85" s="21" t="s">
        <v>144</v>
      </c>
      <c r="I85" s="22" t="str">
        <f>HYPERLINK("https://www.youtube.com/watch?v=ekcTawdCEow","VIDEO")</f>
        <v>VIDEO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ht="15.75" customHeight="1">
      <c r="A86" s="60"/>
      <c r="B86" s="16" t="s">
        <v>19</v>
      </c>
      <c r="C86" s="17" t="s">
        <v>145</v>
      </c>
      <c r="D86" s="18"/>
      <c r="E86" s="16">
        <v>0.0</v>
      </c>
      <c r="F86" s="16" t="str">
        <f>IFERROR(__xludf.DUMMYFUNCTION("SPARKLINE(E86,{""charttype"", ""bar""; ""max"",100})"),"")</f>
        <v/>
      </c>
      <c r="G86" s="20" t="s">
        <v>12</v>
      </c>
      <c r="H86" s="21" t="s">
        <v>146</v>
      </c>
      <c r="I86" s="22" t="str">
        <f>HYPERLINK("https://www.searchenginejournal.com/social-media-seo/196185/","BLOG")</f>
        <v>BLOG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ht="15.75" customHeight="1">
      <c r="A87" s="61"/>
      <c r="B87" s="16" t="s">
        <v>19</v>
      </c>
      <c r="C87" s="17" t="s">
        <v>147</v>
      </c>
      <c r="D87" s="18"/>
      <c r="E87" s="16">
        <v>0.0</v>
      </c>
      <c r="F87" s="16" t="str">
        <f>IFERROR(__xludf.DUMMYFUNCTION("SPARKLINE(E87,{""charttype"", ""bar""; ""max"",100})"),"")</f>
        <v/>
      </c>
      <c r="G87" s="20" t="s">
        <v>31</v>
      </c>
      <c r="H87" s="21" t="s">
        <v>148</v>
      </c>
      <c r="I87" s="22" t="str">
        <f>HYPERLINK("https://www.youtube.com/watch?v=m69nnBkNAtc","VIDEO")</f>
        <v>VIDEO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ht="15.75" customHeight="1">
      <c r="A88" s="63"/>
      <c r="B88" s="64"/>
      <c r="C88" s="63" t="s">
        <v>149</v>
      </c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</row>
    <row r="89" ht="15.75" customHeight="1">
      <c r="A89" s="65"/>
      <c r="B89" s="16" t="s">
        <v>19</v>
      </c>
      <c r="C89" s="17" t="s">
        <v>150</v>
      </c>
      <c r="D89" s="18"/>
      <c r="E89" s="16">
        <v>0.0</v>
      </c>
      <c r="F89" s="16" t="str">
        <f>IFERROR(__xludf.DUMMYFUNCTION("SPARKLINE(E89,{""charttype"", ""bar""; ""max"",100})"),"")</f>
        <v/>
      </c>
      <c r="G89" s="20" t="s">
        <v>12</v>
      </c>
      <c r="H89" s="21" t="s">
        <v>24</v>
      </c>
      <c r="I89" s="22" t="str">
        <f>HYPERLINK("https://www.youtube.com/watch?v=UdCZMWkYDJQ","VIDEO")</f>
        <v>VIDEO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ht="15.75" customHeight="1">
      <c r="A90" s="66"/>
      <c r="B90" s="16" t="s">
        <v>19</v>
      </c>
      <c r="C90" s="17" t="s">
        <v>151</v>
      </c>
      <c r="D90" s="18"/>
      <c r="E90" s="16">
        <v>0.0</v>
      </c>
      <c r="F90" s="16" t="str">
        <f>IFERROR(__xludf.DUMMYFUNCTION("SPARKLINE(E90,{""charttype"", ""bar""; ""max"",100})"),"")</f>
        <v/>
      </c>
      <c r="G90" s="20" t="s">
        <v>12</v>
      </c>
      <c r="H90" s="21" t="s">
        <v>24</v>
      </c>
      <c r="I90" s="22" t="str">
        <f>HYPERLINK("https://www.youtube.com/watch?v=ROTJjt5SAJo","🠆🠆🠆")</f>
        <v>🠆🠆🠆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ht="15.75" customHeight="1">
      <c r="A91" s="66"/>
      <c r="B91" s="16" t="s">
        <v>19</v>
      </c>
      <c r="C91" s="17" t="s">
        <v>152</v>
      </c>
      <c r="D91" s="18"/>
      <c r="E91" s="16">
        <v>0.0</v>
      </c>
      <c r="F91" s="16" t="str">
        <f>IFERROR(__xludf.DUMMYFUNCTION("SPARKLINE(E91,{""charttype"", ""bar""; ""max"",100})"),"")</f>
        <v/>
      </c>
      <c r="G91" s="20" t="s">
        <v>12</v>
      </c>
      <c r="H91" s="21" t="s">
        <v>24</v>
      </c>
      <c r="I91" s="22" t="s">
        <v>22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ht="15.75" customHeight="1">
      <c r="A92" s="65"/>
      <c r="B92" s="16" t="s">
        <v>10</v>
      </c>
      <c r="C92" s="17" t="s">
        <v>153</v>
      </c>
      <c r="D92" s="18"/>
      <c r="E92" s="16">
        <v>0.0</v>
      </c>
      <c r="F92" s="16" t="str">
        <f>IFERROR(__xludf.DUMMYFUNCTION("SPARKLINE(E92,{""charttype"", ""bar""; ""max"",100})"),"")</f>
        <v/>
      </c>
      <c r="G92" s="20" t="s">
        <v>12</v>
      </c>
      <c r="H92" s="21" t="s">
        <v>154</v>
      </c>
      <c r="I92" s="22" t="str">
        <f>HYPERLINK("https://www.youtube.com/watch?v=YSD5vIRR99M","VIDEO")</f>
        <v>VIDEO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ht="15.75" customHeight="1">
      <c r="A93" s="67"/>
      <c r="B93" s="16" t="s">
        <v>19</v>
      </c>
      <c r="C93" s="17" t="s">
        <v>155</v>
      </c>
      <c r="D93" s="18"/>
      <c r="E93" s="16">
        <v>0.0</v>
      </c>
      <c r="F93" s="16" t="str">
        <f>IFERROR(__xludf.DUMMYFUNCTION("SPARKLINE(E93,{""charttype"", ""bar""; ""max"",100})"),"")</f>
        <v/>
      </c>
      <c r="G93" s="20" t="s">
        <v>12</v>
      </c>
      <c r="H93" s="21" t="s">
        <v>156</v>
      </c>
      <c r="I93" s="22" t="str">
        <f>HYPERLINK("https://www.searchenginejournal.com/web-directories-list/287799/","🠆🠆🠆")</f>
        <v>🠆🠆🠆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ht="15.75" customHeight="1">
      <c r="A94" s="66"/>
      <c r="B94" s="16" t="s">
        <v>19</v>
      </c>
      <c r="C94" s="17" t="s">
        <v>157</v>
      </c>
      <c r="D94" s="18"/>
      <c r="E94" s="16">
        <v>0.0</v>
      </c>
      <c r="F94" s="16" t="str">
        <f>IFERROR(__xludf.DUMMYFUNCTION("SPARKLINE(E94,{""charttype"", ""bar""; ""max"",100})"),"")</f>
        <v/>
      </c>
      <c r="G94" s="20" t="s">
        <v>12</v>
      </c>
      <c r="H94" s="21" t="s">
        <v>156</v>
      </c>
      <c r="I94" s="22" t="str">
        <f>HYPERLINK("https://www.youtube.com/watch?v=Kj2l4WxOXFQ","VIDEO")</f>
        <v>VIDEO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ht="15.75" customHeight="1">
      <c r="A95" s="66"/>
      <c r="B95" s="16" t="s">
        <v>10</v>
      </c>
      <c r="C95" s="17" t="s">
        <v>158</v>
      </c>
      <c r="D95" s="18"/>
      <c r="E95" s="16">
        <v>0.0</v>
      </c>
      <c r="F95" s="16" t="str">
        <f>IFERROR(__xludf.DUMMYFUNCTION("SPARKLINE(E95,{""charttype"", ""bar""; ""max"",100})"),"")</f>
        <v/>
      </c>
      <c r="G95" s="20" t="s">
        <v>12</v>
      </c>
      <c r="H95" s="21" t="s">
        <v>24</v>
      </c>
      <c r="I95" s="22" t="str">
        <f>HYPERLINK("https://www.youtube.com/watch?v=csYFbk169mE","VIDEO")</f>
        <v>VIDEO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ht="15.75" customHeight="1">
      <c r="A96" s="67"/>
      <c r="B96" s="16" t="s">
        <v>10</v>
      </c>
      <c r="C96" s="17" t="s">
        <v>159</v>
      </c>
      <c r="D96" s="18"/>
      <c r="E96" s="16">
        <v>0.0</v>
      </c>
      <c r="F96" s="16" t="str">
        <f>IFERROR(__xludf.DUMMYFUNCTION("SPARKLINE(E96,{""charttype"", ""bar""; ""max"",100})"),"")</f>
        <v/>
      </c>
      <c r="G96" s="20" t="s">
        <v>12</v>
      </c>
      <c r="H96" s="21" t="s">
        <v>160</v>
      </c>
      <c r="I96" s="22" t="str">
        <f>HYPERLINK("https://www.youtube.com/watch?v=0W5q1X42y44","VIDEO")</f>
        <v>VIDEO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ht="15.75" customHeight="1">
      <c r="A97" s="67"/>
      <c r="B97" s="16" t="s">
        <v>19</v>
      </c>
      <c r="C97" s="17" t="s">
        <v>161</v>
      </c>
      <c r="D97" s="18"/>
      <c r="E97" s="16">
        <v>0.0</v>
      </c>
      <c r="F97" s="16" t="str">
        <f>IFERROR(__xludf.DUMMYFUNCTION("SPARKLINE(E97,{""charttype"", ""bar""; ""max"",100})"),"")</f>
        <v/>
      </c>
      <c r="G97" s="20" t="s">
        <v>12</v>
      </c>
      <c r="H97" s="21" t="s">
        <v>162</v>
      </c>
      <c r="I97" s="22" t="str">
        <f>HYPERLINK("https://www.youtube.com/watch?v=UDt7j16UQ5c","VIDEO")</f>
        <v>VIDEO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ht="15.75" customHeight="1">
      <c r="A98" s="67"/>
      <c r="B98" s="16" t="s">
        <v>19</v>
      </c>
      <c r="C98" s="17" t="s">
        <v>163</v>
      </c>
      <c r="D98" s="18"/>
      <c r="E98" s="16">
        <v>0.0</v>
      </c>
      <c r="F98" s="16" t="str">
        <f>IFERROR(__xludf.DUMMYFUNCTION("SPARKLINE(E98,{""charttype"", ""bar""; ""max"",100})"),"")</f>
        <v/>
      </c>
      <c r="G98" s="20" t="s">
        <v>12</v>
      </c>
      <c r="H98" s="21" t="s">
        <v>24</v>
      </c>
      <c r="I98" s="22" t="str">
        <f>HYPERLINK("https://spadedesignlab.com/what-is-nap-how-nap-helps-your-website-rankings/","BLOG")</f>
        <v>BLOG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15.75" customHeight="1">
      <c r="A99" s="65"/>
      <c r="B99" s="16" t="s">
        <v>19</v>
      </c>
      <c r="C99" s="17" t="s">
        <v>164</v>
      </c>
      <c r="D99" s="18"/>
      <c r="E99" s="16">
        <v>0.0</v>
      </c>
      <c r="F99" s="16" t="str">
        <f>IFERROR(__xludf.DUMMYFUNCTION("SPARKLINE(E99,{""charttype"", ""bar""; ""max"",100})"),"")</f>
        <v/>
      </c>
      <c r="G99" s="20" t="s">
        <v>12</v>
      </c>
      <c r="H99" s="21" t="s">
        <v>165</v>
      </c>
      <c r="I99" s="22" t="str">
        <f>HYPERLINK("https://www.brightlocal.com/learn/nap-consistency-why-its-important-for-local-seo/","BLOG")</f>
        <v>BLOG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ht="15.75" customHeight="1">
      <c r="A100" s="65"/>
      <c r="B100" s="16" t="s">
        <v>19</v>
      </c>
      <c r="C100" s="17" t="s">
        <v>166</v>
      </c>
      <c r="D100" s="18"/>
      <c r="E100" s="16">
        <v>0.0</v>
      </c>
      <c r="F100" s="16" t="str">
        <f>IFERROR(__xludf.DUMMYFUNCTION("SPARKLINE(E100,{""charttype"", ""bar""; ""max"",100})"),"")</f>
        <v/>
      </c>
      <c r="G100" s="20" t="s">
        <v>12</v>
      </c>
      <c r="H100" s="21" t="s">
        <v>167</v>
      </c>
      <c r="I100" s="22" t="str">
        <f>HYPERLINK("https://www.youtube.com/watch?v=czO1jf-ZIOU","VIDEO")</f>
        <v>VIDEO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15.75" customHeight="1">
      <c r="A101" s="67"/>
      <c r="B101" s="16" t="s">
        <v>19</v>
      </c>
      <c r="C101" s="17" t="s">
        <v>168</v>
      </c>
      <c r="D101" s="18"/>
      <c r="E101" s="16">
        <v>0.0</v>
      </c>
      <c r="F101" s="16" t="str">
        <f>IFERROR(__xludf.DUMMYFUNCTION("SPARKLINE(E101,{""charttype"", ""bar""; ""max"",100})"),"")</f>
        <v/>
      </c>
      <c r="G101" s="20" t="s">
        <v>12</v>
      </c>
      <c r="H101" s="21" t="s">
        <v>97</v>
      </c>
      <c r="I101" s="22" t="str">
        <f>HYPERLINK("https://www.youtube.com/watch?v=YWEY_3OZigo","VIDEO")</f>
        <v>VIDEO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ht="15.75" customHeight="1">
      <c r="A102" s="67"/>
      <c r="B102" s="16" t="s">
        <v>19</v>
      </c>
      <c r="C102" s="17" t="s">
        <v>169</v>
      </c>
      <c r="D102" s="18"/>
      <c r="E102" s="16">
        <v>0.0</v>
      </c>
      <c r="F102" s="16" t="str">
        <f>IFERROR(__xludf.DUMMYFUNCTION("SPARKLINE(E102,{""charttype"", ""bar""; ""max"",100})"),"")</f>
        <v/>
      </c>
      <c r="G102" s="20" t="s">
        <v>12</v>
      </c>
      <c r="H102" s="21" t="s">
        <v>144</v>
      </c>
      <c r="I102" s="22" t="str">
        <f>HYPERLINK("https://www.youtube.com/watch?v=XXkt6l41IOA","VIDEO")</f>
        <v>VIDEO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15.75" customHeight="1">
      <c r="A103" s="67"/>
      <c r="B103" s="16" t="s">
        <v>19</v>
      </c>
      <c r="C103" s="17" t="s">
        <v>170</v>
      </c>
      <c r="D103" s="18"/>
      <c r="E103" s="16">
        <v>100.0</v>
      </c>
      <c r="F103" s="16" t="str">
        <f>IFERROR(__xludf.DUMMYFUNCTION("SPARKLINE(E103,{""charttype"", ""bar""; ""max"",100})"),"")</f>
        <v/>
      </c>
      <c r="G103" s="20" t="s">
        <v>12</v>
      </c>
      <c r="H103" s="21" t="s">
        <v>24</v>
      </c>
      <c r="I103" s="22" t="str">
        <f>HYPERLINK("https://technicalseo.com/tools/schema-markup-generator/","BLOG")</f>
        <v>BLOG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ht="15.75" customHeight="1">
      <c r="A104" s="21"/>
      <c r="B104" s="68"/>
      <c r="C104" s="21"/>
      <c r="D104" s="16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15.75" customHeight="1">
      <c r="A105" s="21"/>
      <c r="B105" s="68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ht="15.75" customHeight="1">
      <c r="A106" s="21"/>
      <c r="B106" s="68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15.75" customHeight="1">
      <c r="A107" s="21"/>
      <c r="B107" s="68"/>
      <c r="C107" s="69" t="s">
        <v>171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ht="15.75" customHeight="1">
      <c r="A108" s="21"/>
      <c r="B108" s="68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ht="15.75" customHeight="1">
      <c r="A109" s="21"/>
      <c r="B109" s="68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ht="24.75" customHeight="1">
      <c r="A110" s="21"/>
      <c r="B110" s="68"/>
      <c r="C110" s="70" t="s">
        <v>172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ht="25.5" customHeight="1">
      <c r="A111" s="21"/>
      <c r="B111" s="68"/>
      <c r="C111" s="71" t="s">
        <v>173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ht="15.75" customHeight="1">
      <c r="A112" s="21"/>
      <c r="B112" s="68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ht="15.75" customHeight="1">
      <c r="A113" s="21"/>
      <c r="B113" s="68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ht="15.75" customHeight="1">
      <c r="A114" s="21"/>
      <c r="B114" s="68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ht="15.75" customHeight="1">
      <c r="A115" s="21"/>
      <c r="B115" s="68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ht="15.75" customHeight="1">
      <c r="A116" s="21"/>
      <c r="B116" s="68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15.75" customHeight="1">
      <c r="A117" s="21"/>
      <c r="B117" s="68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ht="15.75" customHeight="1">
      <c r="A118" s="21"/>
      <c r="B118" s="68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15.75" customHeight="1">
      <c r="A119" s="21"/>
      <c r="B119" s="68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ht="15.75" customHeight="1">
      <c r="A120" s="21"/>
      <c r="B120" s="68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ht="15.75" customHeight="1">
      <c r="A121" s="21"/>
      <c r="B121" s="68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ht="15.75" customHeight="1">
      <c r="A122" s="21"/>
      <c r="B122" s="68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ht="15.75" customHeight="1">
      <c r="A123" s="21"/>
      <c r="B123" s="68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ht="15.75" customHeight="1">
      <c r="A124" s="21"/>
      <c r="B124" s="68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ht="15.75" customHeight="1">
      <c r="A125" s="21"/>
      <c r="B125" s="68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ht="15.75" customHeight="1">
      <c r="A126" s="21"/>
      <c r="B126" s="68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15.75" customHeight="1">
      <c r="A127" s="21"/>
      <c r="B127" s="68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ht="15.75" customHeight="1">
      <c r="A128" s="21"/>
      <c r="B128" s="68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15.75" customHeight="1">
      <c r="A129" s="21"/>
      <c r="B129" s="68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15.75" customHeight="1">
      <c r="A130" s="21"/>
      <c r="B130" s="68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15.75" customHeight="1">
      <c r="A131" s="21"/>
      <c r="B131" s="68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15.75" customHeight="1">
      <c r="A132" s="21"/>
      <c r="B132" s="68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15.75" customHeight="1">
      <c r="A133" s="21"/>
      <c r="B133" s="68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15.75" customHeight="1">
      <c r="A134" s="21"/>
      <c r="B134" s="68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ht="15.75" customHeight="1">
      <c r="A135" s="21"/>
      <c r="B135" s="68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ht="15.75" customHeight="1">
      <c r="A136" s="21"/>
      <c r="B136" s="68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ht="15.75" customHeight="1">
      <c r="A137" s="21"/>
      <c r="B137" s="68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ht="15.75" customHeight="1">
      <c r="A138" s="21"/>
      <c r="B138" s="68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ht="15.75" customHeight="1">
      <c r="A139" s="21"/>
      <c r="B139" s="68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ht="15.75" customHeight="1">
      <c r="A140" s="21"/>
      <c r="B140" s="68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ht="15.75" customHeight="1">
      <c r="A141" s="21"/>
      <c r="B141" s="68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ht="15.75" customHeight="1">
      <c r="A142" s="21"/>
      <c r="B142" s="68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ht="15.75" customHeight="1">
      <c r="A143" s="21"/>
      <c r="B143" s="68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ht="15.75" customHeight="1">
      <c r="A144" s="21"/>
      <c r="B144" s="68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ht="15.75" customHeight="1">
      <c r="A145" s="21"/>
      <c r="B145" s="68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ht="15.75" customHeight="1">
      <c r="A146" s="21"/>
      <c r="B146" s="68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ht="15.75" customHeight="1">
      <c r="A147" s="21"/>
      <c r="B147" s="68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ht="15.75" customHeight="1">
      <c r="A148" s="21"/>
      <c r="B148" s="68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ht="15.75" customHeight="1">
      <c r="A149" s="21"/>
      <c r="B149" s="68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ht="15.75" customHeight="1">
      <c r="A150" s="21"/>
      <c r="B150" s="68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ht="15.75" customHeight="1">
      <c r="A151" s="21"/>
      <c r="B151" s="68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ht="15.75" customHeight="1">
      <c r="A152" s="21"/>
      <c r="B152" s="68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ht="15.75" customHeight="1">
      <c r="A153" s="21"/>
      <c r="B153" s="68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ht="15.75" customHeight="1">
      <c r="A154" s="21"/>
      <c r="B154" s="68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ht="15.75" customHeight="1">
      <c r="A155" s="21"/>
      <c r="B155" s="68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ht="15.75" customHeight="1">
      <c r="A156" s="21"/>
      <c r="B156" s="68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ht="15.75" customHeight="1">
      <c r="A157" s="21"/>
      <c r="B157" s="68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ht="15.75" customHeight="1">
      <c r="A158" s="21"/>
      <c r="B158" s="68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ht="15.75" customHeight="1">
      <c r="A159" s="21"/>
      <c r="B159" s="68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ht="15.75" customHeight="1">
      <c r="A160" s="21"/>
      <c r="B160" s="68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ht="15.75" customHeight="1">
      <c r="A161" s="21"/>
      <c r="B161" s="68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ht="15.75" customHeight="1">
      <c r="A162" s="21"/>
      <c r="B162" s="68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ht="15.75" customHeight="1">
      <c r="A163" s="21"/>
      <c r="B163" s="68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ht="15.75" customHeight="1">
      <c r="A164" s="21"/>
      <c r="B164" s="68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ht="15.75" customHeight="1">
      <c r="A165" s="21"/>
      <c r="B165" s="68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ht="15.75" customHeight="1">
      <c r="A166" s="21"/>
      <c r="B166" s="68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ht="15.75" customHeight="1">
      <c r="A167" s="21"/>
      <c r="B167" s="68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ht="15.75" customHeight="1">
      <c r="A168" s="21"/>
      <c r="B168" s="68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ht="15.75" customHeight="1">
      <c r="A169" s="21"/>
      <c r="B169" s="68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ht="15.75" customHeight="1">
      <c r="A170" s="21"/>
      <c r="B170" s="68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ht="15.75" customHeight="1">
      <c r="A171" s="21"/>
      <c r="B171" s="68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ht="15.75" customHeight="1">
      <c r="A172" s="21"/>
      <c r="B172" s="68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ht="15.75" customHeight="1">
      <c r="A173" s="21"/>
      <c r="B173" s="68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ht="15.75" customHeight="1">
      <c r="A174" s="21"/>
      <c r="B174" s="68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ht="15.75" customHeight="1">
      <c r="A175" s="21"/>
      <c r="B175" s="68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ht="15.75" customHeight="1">
      <c r="A176" s="21"/>
      <c r="B176" s="68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ht="15.75" customHeight="1">
      <c r="A177" s="21"/>
      <c r="B177" s="68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ht="15.75" customHeight="1">
      <c r="A178" s="21"/>
      <c r="B178" s="68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ht="15.75" customHeight="1">
      <c r="A179" s="21"/>
      <c r="B179" s="68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ht="15.75" customHeight="1">
      <c r="A180" s="21"/>
      <c r="B180" s="68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ht="15.75" customHeight="1">
      <c r="A181" s="21"/>
      <c r="B181" s="68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ht="15.75" customHeight="1">
      <c r="A182" s="21"/>
      <c r="B182" s="68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ht="15.75" customHeight="1">
      <c r="A183" s="21"/>
      <c r="B183" s="68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ht="15.75" customHeight="1">
      <c r="A184" s="21"/>
      <c r="B184" s="68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ht="15.75" customHeight="1">
      <c r="A185" s="21"/>
      <c r="B185" s="68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ht="15.75" customHeight="1">
      <c r="A186" s="21"/>
      <c r="B186" s="68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ht="15.75" customHeight="1">
      <c r="A187" s="21"/>
      <c r="B187" s="68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ht="15.75" customHeight="1">
      <c r="A188" s="21"/>
      <c r="B188" s="68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ht="15.75" customHeight="1">
      <c r="A189" s="21"/>
      <c r="B189" s="68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ht="15.75" customHeight="1">
      <c r="A190" s="21"/>
      <c r="B190" s="68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ht="15.75" customHeight="1">
      <c r="A191" s="21"/>
      <c r="B191" s="68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ht="15.75" customHeight="1">
      <c r="A192" s="21"/>
      <c r="B192" s="68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ht="15.75" customHeight="1">
      <c r="A193" s="21"/>
      <c r="B193" s="68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ht="15.75" customHeight="1">
      <c r="A194" s="21"/>
      <c r="B194" s="68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ht="15.75" customHeight="1">
      <c r="A195" s="21"/>
      <c r="B195" s="68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ht="15.75" customHeight="1">
      <c r="A196" s="21"/>
      <c r="B196" s="68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ht="15.75" customHeight="1">
      <c r="A197" s="21"/>
      <c r="B197" s="68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ht="15.75" customHeight="1">
      <c r="A198" s="21"/>
      <c r="B198" s="68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ht="15.75" customHeight="1">
      <c r="A199" s="21"/>
      <c r="B199" s="68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ht="15.75" customHeight="1">
      <c r="A200" s="21"/>
      <c r="B200" s="68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ht="15.75" customHeight="1">
      <c r="A201" s="21"/>
      <c r="B201" s="68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ht="15.75" customHeight="1">
      <c r="A202" s="21"/>
      <c r="B202" s="68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ht="15.75" customHeight="1">
      <c r="A203" s="21"/>
      <c r="B203" s="68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ht="15.75" customHeight="1">
      <c r="A204" s="21"/>
      <c r="B204" s="68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ht="15.75" customHeight="1">
      <c r="A205" s="21"/>
      <c r="B205" s="68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ht="15.75" customHeight="1">
      <c r="A206" s="21"/>
      <c r="B206" s="68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ht="15.75" customHeight="1">
      <c r="A207" s="21"/>
      <c r="B207" s="68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ht="15.75" customHeight="1">
      <c r="A208" s="21"/>
      <c r="B208" s="68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ht="15.75" customHeight="1">
      <c r="A209" s="21"/>
      <c r="B209" s="68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ht="15.75" customHeight="1">
      <c r="A210" s="21"/>
      <c r="B210" s="68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ht="15.75" customHeight="1">
      <c r="A211" s="21"/>
      <c r="B211" s="68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ht="15.75" customHeight="1">
      <c r="A212" s="21"/>
      <c r="B212" s="68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ht="15.75" customHeight="1">
      <c r="A213" s="21"/>
      <c r="B213" s="68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ht="15.75" customHeight="1">
      <c r="A214" s="21"/>
      <c r="B214" s="68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ht="15.75" customHeight="1">
      <c r="A215" s="21"/>
      <c r="B215" s="68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ht="15.75" customHeight="1">
      <c r="A216" s="21"/>
      <c r="B216" s="68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ht="15.75" customHeight="1">
      <c r="A217" s="21"/>
      <c r="B217" s="68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ht="15.75" customHeight="1">
      <c r="A218" s="21"/>
      <c r="B218" s="68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ht="15.75" customHeight="1">
      <c r="A219" s="21"/>
      <c r="B219" s="68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ht="15.75" customHeight="1">
      <c r="A220" s="21"/>
      <c r="B220" s="68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ht="15.75" customHeight="1">
      <c r="A221" s="21"/>
      <c r="B221" s="68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ht="15.75" customHeight="1">
      <c r="A222" s="21"/>
      <c r="B222" s="68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ht="15.75" customHeight="1">
      <c r="A223" s="21"/>
      <c r="B223" s="68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ht="15.75" customHeight="1">
      <c r="A224" s="21"/>
      <c r="B224" s="68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ht="15.75" customHeight="1">
      <c r="A225" s="21"/>
      <c r="B225" s="68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ht="15.75" customHeight="1">
      <c r="A226" s="21"/>
      <c r="B226" s="68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ht="15.75" customHeight="1">
      <c r="A227" s="21"/>
      <c r="B227" s="68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ht="15.75" customHeight="1">
      <c r="A228" s="21"/>
      <c r="B228" s="68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ht="15.75" customHeight="1">
      <c r="A229" s="21"/>
      <c r="B229" s="68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ht="15.75" customHeight="1">
      <c r="A230" s="21"/>
      <c r="B230" s="68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ht="15.75" customHeight="1">
      <c r="A231" s="21"/>
      <c r="B231" s="68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ht="15.75" customHeight="1">
      <c r="A232" s="21"/>
      <c r="B232" s="68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ht="15.75" customHeight="1">
      <c r="A233" s="21"/>
      <c r="B233" s="68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ht="15.75" customHeight="1">
      <c r="A234" s="21"/>
      <c r="B234" s="68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ht="15.75" customHeight="1">
      <c r="A235" s="21"/>
      <c r="B235" s="68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ht="15.75" customHeight="1">
      <c r="A236" s="21"/>
      <c r="B236" s="68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ht="15.75" customHeight="1">
      <c r="A237" s="21"/>
      <c r="B237" s="68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ht="15.75" customHeight="1">
      <c r="A238" s="21"/>
      <c r="B238" s="68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ht="15.75" customHeight="1">
      <c r="A239" s="21"/>
      <c r="B239" s="68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ht="15.75" customHeight="1">
      <c r="A240" s="21"/>
      <c r="B240" s="68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ht="15.75" customHeight="1">
      <c r="A241" s="21"/>
      <c r="B241" s="68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ht="15.75" customHeight="1">
      <c r="A242" s="21"/>
      <c r="B242" s="68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ht="15.75" customHeight="1">
      <c r="A243" s="21"/>
      <c r="B243" s="68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ht="15.75" customHeight="1">
      <c r="A244" s="21"/>
      <c r="B244" s="68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ht="15.75" customHeight="1">
      <c r="A245" s="21"/>
      <c r="B245" s="68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ht="15.75" customHeight="1">
      <c r="A246" s="21"/>
      <c r="B246" s="68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ht="15.75" customHeight="1">
      <c r="A247" s="21"/>
      <c r="B247" s="68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ht="15.75" customHeight="1">
      <c r="A248" s="21"/>
      <c r="B248" s="68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ht="15.75" customHeight="1">
      <c r="A249" s="21"/>
      <c r="B249" s="68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ht="15.75" customHeight="1">
      <c r="A250" s="21"/>
      <c r="B250" s="68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ht="15.75" customHeight="1">
      <c r="A251" s="21"/>
      <c r="B251" s="68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ht="15.75" customHeight="1">
      <c r="A252" s="21"/>
      <c r="B252" s="68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ht="15.75" customHeight="1">
      <c r="A253" s="21"/>
      <c r="B253" s="68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ht="15.75" customHeight="1">
      <c r="A254" s="21"/>
      <c r="B254" s="68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ht="15.75" customHeight="1">
      <c r="A255" s="21"/>
      <c r="B255" s="68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ht="15.75" customHeight="1">
      <c r="A256" s="21"/>
      <c r="B256" s="68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ht="15.75" customHeight="1">
      <c r="A257" s="21"/>
      <c r="B257" s="68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ht="15.75" customHeight="1">
      <c r="A258" s="21"/>
      <c r="B258" s="68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ht="15.75" customHeight="1">
      <c r="A259" s="21"/>
      <c r="B259" s="68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ht="15.75" customHeight="1">
      <c r="A260" s="21"/>
      <c r="B260" s="68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ht="15.75" customHeight="1">
      <c r="A261" s="21"/>
      <c r="B261" s="68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ht="15.75" customHeight="1">
      <c r="A262" s="21"/>
      <c r="B262" s="68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ht="15.75" customHeight="1">
      <c r="A263" s="21"/>
      <c r="B263" s="68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ht="15.75" customHeight="1">
      <c r="A264" s="21"/>
      <c r="B264" s="68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ht="15.75" customHeight="1">
      <c r="A265" s="21"/>
      <c r="B265" s="68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ht="15.75" customHeight="1">
      <c r="A266" s="21"/>
      <c r="B266" s="68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ht="15.75" customHeight="1">
      <c r="A267" s="21"/>
      <c r="B267" s="68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ht="15.75" customHeight="1">
      <c r="A268" s="21"/>
      <c r="B268" s="68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ht="15.75" customHeight="1">
      <c r="A269" s="21"/>
      <c r="B269" s="68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ht="15.75" customHeight="1">
      <c r="A270" s="21"/>
      <c r="B270" s="68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ht="15.75" customHeight="1">
      <c r="A271" s="21"/>
      <c r="B271" s="68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ht="15.75" customHeight="1">
      <c r="A272" s="21"/>
      <c r="B272" s="68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ht="15.75" customHeight="1">
      <c r="A273" s="21"/>
      <c r="B273" s="68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ht="15.75" customHeight="1">
      <c r="A274" s="21"/>
      <c r="B274" s="68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ht="15.75" customHeight="1">
      <c r="A275" s="21"/>
      <c r="B275" s="68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ht="15.75" customHeight="1">
      <c r="A276" s="21"/>
      <c r="B276" s="68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ht="15.75" customHeight="1">
      <c r="A277" s="21"/>
      <c r="B277" s="68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ht="15.75" customHeight="1">
      <c r="A278" s="21"/>
      <c r="B278" s="68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ht="15.75" customHeight="1">
      <c r="A279" s="21"/>
      <c r="B279" s="68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ht="15.75" customHeight="1">
      <c r="A280" s="21"/>
      <c r="B280" s="68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ht="15.75" customHeight="1">
      <c r="A281" s="21"/>
      <c r="B281" s="68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ht="15.75" customHeight="1">
      <c r="A282" s="21"/>
      <c r="B282" s="68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ht="15.75" customHeight="1">
      <c r="A283" s="21"/>
      <c r="B283" s="68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ht="15.75" customHeight="1">
      <c r="A284" s="21"/>
      <c r="B284" s="68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ht="15.75" customHeight="1">
      <c r="A285" s="21"/>
      <c r="B285" s="68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ht="15.75" customHeight="1">
      <c r="A286" s="21"/>
      <c r="B286" s="68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ht="15.75" customHeight="1">
      <c r="A287" s="21"/>
      <c r="B287" s="68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ht="15.75" customHeight="1">
      <c r="A288" s="21"/>
      <c r="B288" s="68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ht="15.75" customHeight="1">
      <c r="A289" s="21"/>
      <c r="B289" s="68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ht="15.75" customHeight="1">
      <c r="A290" s="21"/>
      <c r="B290" s="68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ht="15.75" customHeight="1">
      <c r="A291" s="21"/>
      <c r="B291" s="68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ht="15.75" customHeight="1">
      <c r="A292" s="21"/>
      <c r="B292" s="68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ht="15.75" customHeight="1">
      <c r="A293" s="21"/>
      <c r="B293" s="68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ht="15.75" customHeight="1">
      <c r="A294" s="21"/>
      <c r="B294" s="68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ht="15.75" customHeight="1">
      <c r="A295" s="21"/>
      <c r="B295" s="68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ht="15.75" customHeight="1">
      <c r="A296" s="21"/>
      <c r="B296" s="68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ht="15.75" customHeight="1">
      <c r="A297" s="21"/>
      <c r="B297" s="68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ht="15.75" customHeight="1">
      <c r="A298" s="21"/>
      <c r="B298" s="68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ht="15.75" customHeight="1">
      <c r="A299" s="21"/>
      <c r="B299" s="68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ht="15.75" customHeight="1">
      <c r="A300" s="21"/>
      <c r="B300" s="68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ht="15.75" customHeight="1">
      <c r="A301" s="21"/>
      <c r="B301" s="68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ht="15.75" customHeight="1">
      <c r="A302" s="21"/>
      <c r="B302" s="68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ht="15.75" customHeight="1">
      <c r="A303" s="21"/>
      <c r="B303" s="68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C1:C2"/>
    <mergeCell ref="E3:F3"/>
    <mergeCell ref="C107:C108"/>
  </mergeCells>
  <dataValidations>
    <dataValidation type="list" allowBlank="1" sqref="D6:D10 D12:D19 D21:D32 D34:D48 D50:D60 D62:D79 D81:D87 D89:D104">
      <formula1>"Yes,No,In Progress"</formula1>
    </dataValidation>
    <dataValidation type="list" allowBlank="1" sqref="D5">
      <formula1>"Yes,No"</formula1>
    </dataValidation>
    <dataValidation type="list" allowBlank="1" sqref="E5:E10 E12:E19 E21:E32 E34:E48 E50:E60 E62:E79 E81:E87 E89:E103">
      <formula1>"0,25,50,75,100"</formula1>
    </dataValidation>
  </dataValidations>
  <hyperlinks>
    <hyperlink r:id="rId1" ref="I8"/>
    <hyperlink r:id="rId2" ref="I9"/>
    <hyperlink r:id="rId3" ref="I12"/>
    <hyperlink r:id="rId4" ref="I13"/>
    <hyperlink r:id="rId5" ref="I14"/>
    <hyperlink r:id="rId6" ref="I15"/>
    <hyperlink r:id="rId7" ref="I16"/>
    <hyperlink r:id="rId8" ref="I17"/>
    <hyperlink r:id="rId9" ref="I18"/>
    <hyperlink r:id="rId10" ref="I19"/>
    <hyperlink r:id="rId11" ref="I21"/>
    <hyperlink r:id="rId12" ref="I22"/>
    <hyperlink r:id="rId13" ref="I23"/>
    <hyperlink r:id="rId14" ref="I25"/>
    <hyperlink r:id="rId15" ref="I26"/>
    <hyperlink r:id="rId16" ref="I27"/>
    <hyperlink r:id="rId17" ref="I28"/>
    <hyperlink r:id="rId18" ref="I29"/>
    <hyperlink r:id="rId19" ref="I30"/>
    <hyperlink r:id="rId20" ref="I32"/>
    <hyperlink r:id="rId21" ref="I34"/>
    <hyperlink r:id="rId22" ref="I35"/>
    <hyperlink r:id="rId23" ref="I36"/>
    <hyperlink r:id="rId24" ref="I37"/>
    <hyperlink r:id="rId25" ref="I38"/>
    <hyperlink r:id="rId26" ref="I39"/>
    <hyperlink r:id="rId27" ref="I43"/>
    <hyperlink r:id="rId28" ref="I44"/>
    <hyperlink r:id="rId29" ref="I45"/>
    <hyperlink r:id="rId30" ref="I47"/>
    <hyperlink r:id="rId31" ref="I48"/>
    <hyperlink r:id="rId32" ref="I50"/>
    <hyperlink r:id="rId33" ref="I51"/>
    <hyperlink r:id="rId34" ref="I52"/>
    <hyperlink r:id="rId35" ref="I53"/>
    <hyperlink r:id="rId36" ref="I54"/>
    <hyperlink r:id="rId37" ref="I55"/>
    <hyperlink r:id="rId38" ref="I56"/>
    <hyperlink r:id="rId39" ref="I57"/>
    <hyperlink r:id="rId40" ref="I58"/>
    <hyperlink r:id="rId41" ref="I60"/>
    <hyperlink r:id="rId42" ref="I74"/>
    <hyperlink r:id="rId43" ref="I91"/>
    <hyperlink r:id="rId44" ref="C110"/>
  </hyperlinks>
  <printOptions/>
  <pageMargins bottom="0.75" footer="0.0" header="0.0" left="0.7" right="0.7" top="0.75"/>
  <pageSetup orientation="landscape"/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57.5"/>
    <col customWidth="1" min="3" max="3" width="22.13"/>
  </cols>
  <sheetData>
    <row r="1">
      <c r="A1" s="72"/>
      <c r="B1" s="73"/>
      <c r="C1" s="74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72"/>
      <c r="B2" s="75" t="s">
        <v>174</v>
      </c>
      <c r="C2" s="76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72"/>
      <c r="B3" s="75"/>
      <c r="C3" s="76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72"/>
      <c r="B4" s="73"/>
      <c r="C4" s="74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B5" s="77" t="s">
        <v>175</v>
      </c>
      <c r="C5" s="74"/>
    </row>
    <row r="6">
      <c r="B6" s="78" t="s">
        <v>176</v>
      </c>
      <c r="C6" s="79"/>
    </row>
    <row r="7">
      <c r="B7" s="80" t="s">
        <v>177</v>
      </c>
      <c r="C7" s="74"/>
    </row>
    <row r="8">
      <c r="B8" s="81" t="s">
        <v>178</v>
      </c>
      <c r="C8" s="82"/>
    </row>
    <row r="9">
      <c r="B9" s="81" t="s">
        <v>179</v>
      </c>
      <c r="C9" s="82"/>
    </row>
    <row r="10">
      <c r="B10" s="83" t="s">
        <v>180</v>
      </c>
      <c r="C10" s="84"/>
    </row>
    <row r="11">
      <c r="B11" s="81" t="s">
        <v>181</v>
      </c>
      <c r="C11" s="85"/>
    </row>
    <row r="12">
      <c r="B12" s="83" t="s">
        <v>182</v>
      </c>
      <c r="C12" s="82"/>
    </row>
    <row r="13">
      <c r="B13" s="81" t="s">
        <v>183</v>
      </c>
      <c r="C13" s="82"/>
    </row>
    <row r="14">
      <c r="B14" s="81" t="s">
        <v>184</v>
      </c>
      <c r="C14" s="79"/>
    </row>
    <row r="15">
      <c r="B15" s="77" t="s">
        <v>185</v>
      </c>
      <c r="C15" s="86"/>
    </row>
    <row r="16">
      <c r="B16" s="81" t="s">
        <v>186</v>
      </c>
      <c r="C16" s="79"/>
    </row>
    <row r="17">
      <c r="B17" s="81" t="s">
        <v>187</v>
      </c>
      <c r="C17" s="79"/>
    </row>
    <row r="18">
      <c r="B18" s="83" t="s">
        <v>188</v>
      </c>
      <c r="C18" s="82"/>
    </row>
    <row r="19">
      <c r="B19" s="81" t="s">
        <v>189</v>
      </c>
      <c r="C19" s="82"/>
    </row>
    <row r="20">
      <c r="B20" s="81" t="s">
        <v>190</v>
      </c>
      <c r="C20" s="87"/>
    </row>
    <row r="21">
      <c r="B21" s="88" t="s">
        <v>191</v>
      </c>
      <c r="C21" s="89"/>
    </row>
    <row r="22">
      <c r="B22" s="81" t="s">
        <v>192</v>
      </c>
      <c r="C22" s="82"/>
    </row>
    <row r="23">
      <c r="B23" s="81" t="s">
        <v>193</v>
      </c>
      <c r="C23" s="82"/>
    </row>
    <row r="24">
      <c r="B24" s="81" t="s">
        <v>194</v>
      </c>
      <c r="C24" s="89"/>
    </row>
    <row r="25">
      <c r="B25" s="90" t="s">
        <v>195</v>
      </c>
      <c r="C25" s="89"/>
    </row>
    <row r="26">
      <c r="B26" s="91" t="s">
        <v>196</v>
      </c>
      <c r="C26" s="89"/>
    </row>
    <row r="27">
      <c r="B27" s="77" t="s">
        <v>197</v>
      </c>
      <c r="C27" s="89"/>
    </row>
    <row r="28">
      <c r="B28" s="81" t="s">
        <v>198</v>
      </c>
      <c r="C28" s="82"/>
    </row>
    <row r="29">
      <c r="B29" s="83" t="s">
        <v>199</v>
      </c>
      <c r="C29" s="89"/>
    </row>
    <row r="30">
      <c r="B30" s="81" t="s">
        <v>200</v>
      </c>
      <c r="C30" s="82"/>
    </row>
    <row r="31">
      <c r="B31" s="81" t="s">
        <v>201</v>
      </c>
      <c r="C31" s="82"/>
    </row>
    <row r="32">
      <c r="B32" s="81" t="s">
        <v>202</v>
      </c>
      <c r="C32" s="82"/>
    </row>
    <row r="33">
      <c r="B33" s="81" t="s">
        <v>203</v>
      </c>
      <c r="C33" s="82"/>
    </row>
    <row r="34">
      <c r="B34" s="81" t="s">
        <v>204</v>
      </c>
      <c r="C34" s="89"/>
    </row>
    <row r="35">
      <c r="B35" s="81" t="s">
        <v>205</v>
      </c>
      <c r="C35" s="82"/>
    </row>
    <row r="36">
      <c r="B36" s="81" t="s">
        <v>206</v>
      </c>
      <c r="C36" s="82"/>
    </row>
    <row r="37">
      <c r="B37" s="81" t="s">
        <v>207</v>
      </c>
      <c r="C37" s="82"/>
    </row>
    <row r="38">
      <c r="B38" s="81" t="s">
        <v>208</v>
      </c>
      <c r="C38" s="82"/>
    </row>
    <row r="39">
      <c r="B39" s="81" t="s">
        <v>209</v>
      </c>
      <c r="C39" s="89"/>
    </row>
    <row r="40">
      <c r="B40" s="81" t="s">
        <v>210</v>
      </c>
      <c r="C40" s="82"/>
    </row>
    <row r="41">
      <c r="B41" s="81" t="s">
        <v>211</v>
      </c>
      <c r="C41" s="89"/>
    </row>
    <row r="42">
      <c r="B42" s="81" t="s">
        <v>212</v>
      </c>
      <c r="C42" s="82"/>
    </row>
    <row r="43">
      <c r="B43" s="83" t="s">
        <v>213</v>
      </c>
      <c r="C43" s="82"/>
    </row>
    <row r="44">
      <c r="B44" s="81" t="s">
        <v>214</v>
      </c>
      <c r="C44" s="89"/>
    </row>
    <row r="45">
      <c r="B45" s="81" t="s">
        <v>215</v>
      </c>
      <c r="C45" s="89"/>
    </row>
    <row r="46">
      <c r="B46" s="81" t="s">
        <v>216</v>
      </c>
      <c r="C46" s="82"/>
    </row>
    <row r="47">
      <c r="B47" s="81" t="s">
        <v>217</v>
      </c>
      <c r="C47" s="89"/>
    </row>
    <row r="48">
      <c r="B48" s="81" t="s">
        <v>218</v>
      </c>
      <c r="C48" s="89"/>
    </row>
    <row r="49">
      <c r="B49" s="81" t="s">
        <v>219</v>
      </c>
      <c r="C49" s="82"/>
    </row>
    <row r="50">
      <c r="B50" s="83" t="s">
        <v>220</v>
      </c>
      <c r="C50" s="82"/>
    </row>
    <row r="51">
      <c r="B51" s="83" t="s">
        <v>221</v>
      </c>
      <c r="C51" s="82"/>
    </row>
    <row r="52">
      <c r="B52" s="92" t="s">
        <v>222</v>
      </c>
      <c r="C52" s="89"/>
    </row>
    <row r="53">
      <c r="B53" s="81" t="s">
        <v>223</v>
      </c>
      <c r="C53" s="89"/>
    </row>
    <row r="54">
      <c r="B54" s="81" t="s">
        <v>224</v>
      </c>
      <c r="C54" s="89"/>
    </row>
    <row r="55">
      <c r="B55" s="81" t="s">
        <v>225</v>
      </c>
      <c r="C55" s="82"/>
    </row>
    <row r="56">
      <c r="B56" s="81" t="s">
        <v>226</v>
      </c>
      <c r="C56" s="89"/>
    </row>
    <row r="57">
      <c r="B57" s="81" t="s">
        <v>227</v>
      </c>
      <c r="C57" s="89"/>
    </row>
    <row r="58">
      <c r="B58" s="81" t="s">
        <v>228</v>
      </c>
      <c r="C58" s="89"/>
    </row>
    <row r="59">
      <c r="B59" s="81" t="s">
        <v>229</v>
      </c>
      <c r="C59" s="82"/>
    </row>
    <row r="60">
      <c r="B60" s="81" t="s">
        <v>230</v>
      </c>
      <c r="C60" s="89"/>
    </row>
    <row r="61">
      <c r="B61" s="81" t="s">
        <v>231</v>
      </c>
      <c r="C61" s="89"/>
    </row>
    <row r="62">
      <c r="B62" s="83" t="s">
        <v>232</v>
      </c>
      <c r="C62" s="89"/>
    </row>
    <row r="63">
      <c r="B63" s="77" t="s">
        <v>233</v>
      </c>
      <c r="C63" s="89"/>
    </row>
    <row r="64">
      <c r="B64" s="81" t="s">
        <v>234</v>
      </c>
      <c r="C64" s="82"/>
    </row>
    <row r="65">
      <c r="B65" s="81" t="s">
        <v>235</v>
      </c>
      <c r="C65" s="89"/>
    </row>
    <row r="66">
      <c r="B66" s="81" t="s">
        <v>236</v>
      </c>
      <c r="C66" s="89"/>
    </row>
    <row r="67">
      <c r="B67" s="81" t="s">
        <v>237</v>
      </c>
      <c r="C67" s="85"/>
    </row>
    <row r="68">
      <c r="B68" s="81" t="s">
        <v>238</v>
      </c>
      <c r="C68" s="85"/>
    </row>
    <row r="69">
      <c r="B69" s="81" t="s">
        <v>239</v>
      </c>
      <c r="C69" s="82"/>
    </row>
    <row r="70">
      <c r="B70" s="81" t="s">
        <v>240</v>
      </c>
      <c r="C70" s="89"/>
    </row>
    <row r="71">
      <c r="B71" s="93" t="s">
        <v>241</v>
      </c>
      <c r="C71" s="89"/>
    </row>
    <row r="72">
      <c r="B72" s="81" t="s">
        <v>242</v>
      </c>
      <c r="C72" s="89"/>
    </row>
    <row r="73">
      <c r="B73" s="81" t="s">
        <v>243</v>
      </c>
      <c r="C73" s="89"/>
    </row>
    <row r="74">
      <c r="B74" s="81" t="s">
        <v>244</v>
      </c>
      <c r="C74" s="89"/>
    </row>
    <row r="75">
      <c r="B75" s="81" t="s">
        <v>245</v>
      </c>
      <c r="C75" s="89"/>
    </row>
    <row r="76">
      <c r="B76" s="81" t="s">
        <v>246</v>
      </c>
      <c r="C76" s="89"/>
    </row>
    <row r="77">
      <c r="B77" s="81" t="s">
        <v>247</v>
      </c>
      <c r="C77" s="89"/>
    </row>
    <row r="78">
      <c r="B78" s="81" t="s">
        <v>248</v>
      </c>
      <c r="C78" s="89"/>
    </row>
    <row r="79">
      <c r="B79" s="77"/>
      <c r="C79" s="89"/>
    </row>
    <row r="80">
      <c r="B80" s="81"/>
      <c r="C80" s="89"/>
    </row>
    <row r="81">
      <c r="B81" s="83"/>
      <c r="C81" s="89"/>
    </row>
    <row r="82">
      <c r="B82" s="81"/>
      <c r="C82" s="89"/>
    </row>
    <row r="83">
      <c r="B83" s="81"/>
      <c r="C83" s="89"/>
    </row>
    <row r="84">
      <c r="B84" s="81"/>
      <c r="C84" s="89"/>
    </row>
    <row r="85">
      <c r="B85" s="81"/>
      <c r="C85" s="89"/>
    </row>
    <row r="86">
      <c r="B86" s="81"/>
      <c r="C86" s="89"/>
    </row>
    <row r="87">
      <c r="B87" s="81"/>
      <c r="C87" s="89"/>
    </row>
    <row r="88">
      <c r="B88" s="81"/>
      <c r="C88" s="89"/>
    </row>
    <row r="89">
      <c r="B89" s="91"/>
      <c r="C89" s="89"/>
    </row>
    <row r="90">
      <c r="B90" s="89"/>
      <c r="C90" s="89"/>
    </row>
    <row r="91">
      <c r="B91" s="94"/>
      <c r="C91" s="89"/>
    </row>
    <row r="92">
      <c r="B92" s="94"/>
      <c r="C92" s="89"/>
    </row>
    <row r="93">
      <c r="B93" s="94"/>
      <c r="C93" s="89"/>
    </row>
    <row r="94">
      <c r="B94" s="94"/>
      <c r="C94" s="89"/>
    </row>
    <row r="95">
      <c r="B95" s="94"/>
      <c r="C95" s="89"/>
    </row>
    <row r="96">
      <c r="B96" s="94"/>
      <c r="C96" s="89"/>
    </row>
    <row r="97">
      <c r="B97" s="94"/>
      <c r="C97" s="89"/>
    </row>
    <row r="98">
      <c r="B98" s="94"/>
      <c r="C98" s="89"/>
    </row>
    <row r="99">
      <c r="B99" s="94"/>
      <c r="C99" s="89"/>
    </row>
    <row r="100">
      <c r="B100" s="94"/>
      <c r="C100" s="89"/>
    </row>
    <row r="101">
      <c r="B101" s="89"/>
      <c r="C101" s="89"/>
    </row>
    <row r="102">
      <c r="B102" s="94"/>
      <c r="C102" s="82"/>
    </row>
    <row r="103">
      <c r="B103" s="89"/>
      <c r="C103" s="89"/>
    </row>
    <row r="104">
      <c r="B104" s="89"/>
      <c r="C104" s="89"/>
    </row>
    <row r="105">
      <c r="B105" s="89"/>
      <c r="C105" s="89"/>
    </row>
    <row r="106">
      <c r="B106" s="89"/>
      <c r="C106" s="89"/>
    </row>
    <row r="107">
      <c r="B107" s="89"/>
      <c r="C107" s="89"/>
    </row>
    <row r="108">
      <c r="B108" s="89"/>
      <c r="C108" s="89"/>
    </row>
    <row r="109">
      <c r="B109" s="89"/>
      <c r="C109" s="89"/>
    </row>
    <row r="110">
      <c r="B110" s="89"/>
      <c r="C110" s="89"/>
    </row>
    <row r="111">
      <c r="B111" s="89"/>
      <c r="C111" s="89"/>
    </row>
    <row r="112">
      <c r="B112" s="89"/>
      <c r="C112" s="89"/>
    </row>
    <row r="113">
      <c r="B113" s="89"/>
      <c r="C113" s="89"/>
    </row>
    <row r="114">
      <c r="B114" s="89"/>
      <c r="C114" s="89"/>
    </row>
    <row r="115">
      <c r="B115" s="89"/>
      <c r="C115" s="89"/>
    </row>
    <row r="116">
      <c r="B116" s="89"/>
      <c r="C116" s="89"/>
    </row>
    <row r="117">
      <c r="B117" s="89"/>
      <c r="C117" s="89"/>
    </row>
    <row r="118">
      <c r="B118" s="89"/>
      <c r="C118" s="89"/>
    </row>
    <row r="119">
      <c r="B119" s="89"/>
      <c r="C119" s="89"/>
    </row>
    <row r="120">
      <c r="B120" s="89"/>
      <c r="C120" s="89"/>
    </row>
    <row r="121">
      <c r="B121" s="89"/>
      <c r="C121" s="89"/>
    </row>
    <row r="122">
      <c r="B122" s="89"/>
      <c r="C122" s="89"/>
    </row>
    <row r="123">
      <c r="B123" s="89"/>
      <c r="C123" s="89"/>
    </row>
    <row r="124">
      <c r="B124" s="89"/>
      <c r="C124" s="89"/>
    </row>
    <row r="125">
      <c r="B125" s="89"/>
      <c r="C125" s="89"/>
    </row>
    <row r="126">
      <c r="B126" s="89"/>
      <c r="C126" s="89"/>
    </row>
    <row r="127">
      <c r="B127" s="89"/>
      <c r="C127" s="89"/>
    </row>
    <row r="128">
      <c r="B128" s="89"/>
      <c r="C128" s="89"/>
    </row>
    <row r="129">
      <c r="B129" s="89"/>
      <c r="C129" s="89"/>
    </row>
    <row r="130">
      <c r="B130" s="89"/>
      <c r="C130" s="89"/>
    </row>
    <row r="131">
      <c r="B131" s="89"/>
      <c r="C131" s="89"/>
    </row>
    <row r="132">
      <c r="B132" s="89"/>
      <c r="C132" s="89"/>
    </row>
    <row r="133">
      <c r="B133" s="89"/>
      <c r="C133" s="89"/>
    </row>
    <row r="134">
      <c r="B134" s="89"/>
      <c r="C134" s="89"/>
    </row>
    <row r="135">
      <c r="B135" s="89"/>
      <c r="C135" s="89"/>
    </row>
    <row r="136">
      <c r="B136" s="89"/>
      <c r="C136" s="89"/>
    </row>
    <row r="137">
      <c r="B137" s="89"/>
      <c r="C137" s="89"/>
    </row>
    <row r="138">
      <c r="B138" s="89"/>
      <c r="C138" s="89"/>
    </row>
    <row r="139">
      <c r="B139" s="89"/>
      <c r="C139" s="89"/>
    </row>
    <row r="140">
      <c r="B140" s="89"/>
      <c r="C140" s="89"/>
    </row>
    <row r="141">
      <c r="B141" s="89"/>
      <c r="C141" s="89"/>
    </row>
    <row r="142">
      <c r="B142" s="89"/>
      <c r="C142" s="89"/>
    </row>
    <row r="143">
      <c r="B143" s="89"/>
      <c r="C143" s="89"/>
    </row>
    <row r="144">
      <c r="B144" s="89"/>
      <c r="C144" s="89"/>
    </row>
    <row r="145">
      <c r="B145" s="89"/>
      <c r="C145" s="89"/>
    </row>
    <row r="146">
      <c r="B146" s="89"/>
      <c r="C146" s="89"/>
    </row>
    <row r="147">
      <c r="B147" s="89"/>
      <c r="C147" s="89"/>
    </row>
    <row r="148">
      <c r="B148" s="89"/>
      <c r="C148" s="89"/>
    </row>
    <row r="149">
      <c r="B149" s="89"/>
      <c r="C149" s="89"/>
    </row>
    <row r="150">
      <c r="B150" s="89"/>
      <c r="C150" s="89"/>
    </row>
    <row r="151">
      <c r="B151" s="89"/>
      <c r="C151" s="89"/>
    </row>
    <row r="152">
      <c r="B152" s="89"/>
      <c r="C152" s="89"/>
    </row>
    <row r="153">
      <c r="B153" s="89"/>
      <c r="C153" s="89"/>
    </row>
    <row r="154">
      <c r="B154" s="89"/>
      <c r="C154" s="89"/>
    </row>
    <row r="155">
      <c r="B155" s="89"/>
      <c r="C155" s="89"/>
    </row>
    <row r="156">
      <c r="B156" s="89"/>
      <c r="C156" s="89"/>
    </row>
    <row r="157">
      <c r="B157" s="89"/>
      <c r="C157" s="89"/>
    </row>
    <row r="158">
      <c r="B158" s="89"/>
      <c r="C158" s="89"/>
    </row>
    <row r="159">
      <c r="B159" s="89"/>
      <c r="C159" s="89"/>
    </row>
    <row r="160">
      <c r="B160" s="89"/>
      <c r="C160" s="89"/>
    </row>
    <row r="161">
      <c r="B161" s="89"/>
      <c r="C161" s="89"/>
    </row>
    <row r="162">
      <c r="B162" s="89"/>
      <c r="C162" s="89"/>
    </row>
    <row r="163">
      <c r="B163" s="89"/>
      <c r="C163" s="89"/>
    </row>
    <row r="164">
      <c r="B164" s="89"/>
      <c r="C164" s="89"/>
    </row>
    <row r="165">
      <c r="B165" s="89"/>
      <c r="C165" s="89"/>
    </row>
    <row r="166">
      <c r="B166" s="89"/>
      <c r="C166" s="89"/>
    </row>
    <row r="167">
      <c r="B167" s="89"/>
      <c r="C167" s="89"/>
    </row>
    <row r="168">
      <c r="B168" s="89"/>
      <c r="C168" s="89"/>
    </row>
    <row r="169">
      <c r="B169" s="89"/>
      <c r="C169" s="89"/>
    </row>
    <row r="170">
      <c r="B170" s="89"/>
      <c r="C170" s="89"/>
    </row>
    <row r="171">
      <c r="B171" s="89"/>
      <c r="C171" s="89"/>
    </row>
    <row r="172">
      <c r="B172" s="89"/>
      <c r="C172" s="89"/>
    </row>
    <row r="173">
      <c r="B173" s="89"/>
      <c r="C173" s="89"/>
    </row>
    <row r="174">
      <c r="B174" s="89"/>
      <c r="C174" s="89"/>
    </row>
    <row r="175">
      <c r="B175" s="89"/>
      <c r="C175" s="89"/>
    </row>
    <row r="176">
      <c r="B176" s="89"/>
      <c r="C176" s="89"/>
    </row>
    <row r="177">
      <c r="B177" s="89"/>
      <c r="C177" s="89"/>
    </row>
    <row r="178">
      <c r="B178" s="89"/>
      <c r="C178" s="89"/>
    </row>
    <row r="179">
      <c r="B179" s="89"/>
      <c r="C179" s="89"/>
    </row>
    <row r="180">
      <c r="B180" s="89"/>
      <c r="C180" s="89"/>
    </row>
    <row r="181">
      <c r="B181" s="89"/>
      <c r="C181" s="89"/>
    </row>
    <row r="182">
      <c r="B182" s="89"/>
      <c r="C182" s="89"/>
    </row>
    <row r="183">
      <c r="B183" s="89"/>
      <c r="C183" s="89"/>
    </row>
    <row r="184">
      <c r="B184" s="89"/>
      <c r="C184" s="89"/>
    </row>
    <row r="185">
      <c r="B185" s="89"/>
      <c r="C185" s="89"/>
    </row>
    <row r="186">
      <c r="B186" s="89"/>
      <c r="C186" s="89"/>
    </row>
    <row r="187">
      <c r="B187" s="89"/>
      <c r="C187" s="89"/>
    </row>
    <row r="188">
      <c r="B188" s="89"/>
      <c r="C188" s="89"/>
    </row>
    <row r="189">
      <c r="B189" s="89"/>
      <c r="C189" s="89"/>
    </row>
    <row r="190">
      <c r="B190" s="89"/>
      <c r="C190" s="89"/>
    </row>
    <row r="191">
      <c r="B191" s="89"/>
      <c r="C191" s="89"/>
    </row>
    <row r="192">
      <c r="B192" s="89"/>
      <c r="C192" s="89"/>
    </row>
    <row r="193">
      <c r="B193" s="89"/>
      <c r="C193" s="89"/>
    </row>
    <row r="194">
      <c r="B194" s="89"/>
      <c r="C194" s="89"/>
    </row>
    <row r="195">
      <c r="B195" s="89"/>
      <c r="C195" s="89"/>
    </row>
    <row r="196">
      <c r="B196" s="89"/>
      <c r="C196" s="89"/>
    </row>
    <row r="197">
      <c r="B197" s="89"/>
      <c r="C197" s="89"/>
    </row>
    <row r="198">
      <c r="B198" s="89"/>
      <c r="C198" s="89"/>
    </row>
    <row r="199">
      <c r="B199" s="89"/>
      <c r="C199" s="89"/>
    </row>
    <row r="200">
      <c r="B200" s="89"/>
      <c r="C200" s="89"/>
    </row>
    <row r="201">
      <c r="B201" s="89"/>
      <c r="C201" s="89"/>
    </row>
    <row r="202">
      <c r="B202" s="89"/>
      <c r="C202" s="89"/>
    </row>
    <row r="203">
      <c r="B203" s="89"/>
      <c r="C203" s="89"/>
    </row>
    <row r="204">
      <c r="B204" s="89"/>
      <c r="C204" s="89"/>
    </row>
    <row r="205">
      <c r="B205" s="89"/>
      <c r="C205" s="89"/>
    </row>
    <row r="206">
      <c r="B206" s="89"/>
      <c r="C206" s="89"/>
    </row>
    <row r="207">
      <c r="B207" s="89"/>
      <c r="C207" s="89"/>
    </row>
    <row r="208">
      <c r="B208" s="89"/>
      <c r="C208" s="89"/>
    </row>
    <row r="209">
      <c r="B209" s="89"/>
      <c r="C209" s="89"/>
    </row>
    <row r="210">
      <c r="B210" s="89"/>
      <c r="C210" s="89"/>
    </row>
    <row r="211">
      <c r="B211" s="89"/>
      <c r="C211" s="89"/>
    </row>
    <row r="212">
      <c r="B212" s="89"/>
      <c r="C212" s="89"/>
    </row>
    <row r="213">
      <c r="B213" s="89"/>
      <c r="C213" s="89"/>
    </row>
    <row r="214">
      <c r="B214" s="89"/>
      <c r="C214" s="89"/>
    </row>
    <row r="215">
      <c r="B215" s="89"/>
      <c r="C215" s="89"/>
    </row>
    <row r="216">
      <c r="B216" s="89"/>
      <c r="C216" s="89"/>
    </row>
    <row r="217">
      <c r="B217" s="89"/>
      <c r="C217" s="89"/>
    </row>
    <row r="218">
      <c r="B218" s="89"/>
      <c r="C218" s="89"/>
    </row>
    <row r="219">
      <c r="B219" s="89"/>
      <c r="C219" s="89"/>
    </row>
    <row r="220">
      <c r="B220" s="89"/>
      <c r="C220" s="89"/>
    </row>
    <row r="221">
      <c r="B221" s="89"/>
      <c r="C221" s="89"/>
    </row>
    <row r="222">
      <c r="B222" s="89"/>
      <c r="C222" s="89"/>
    </row>
    <row r="223">
      <c r="B223" s="89"/>
      <c r="C223" s="89"/>
    </row>
    <row r="224">
      <c r="B224" s="89"/>
      <c r="C224" s="89"/>
    </row>
    <row r="225">
      <c r="B225" s="89"/>
      <c r="C225" s="89"/>
    </row>
    <row r="226">
      <c r="B226" s="89"/>
      <c r="C226" s="89"/>
    </row>
    <row r="227">
      <c r="B227" s="89"/>
      <c r="C227" s="89"/>
    </row>
    <row r="228">
      <c r="B228" s="89"/>
      <c r="C228" s="89"/>
    </row>
    <row r="229">
      <c r="B229" s="89"/>
      <c r="C229" s="89"/>
    </row>
    <row r="230">
      <c r="B230" s="89"/>
      <c r="C230" s="89"/>
    </row>
    <row r="231">
      <c r="B231" s="89"/>
      <c r="C231" s="89"/>
    </row>
    <row r="232">
      <c r="B232" s="89"/>
      <c r="C232" s="89"/>
    </row>
    <row r="233">
      <c r="B233" s="89"/>
      <c r="C233" s="89"/>
    </row>
    <row r="234">
      <c r="B234" s="89"/>
      <c r="C234" s="89"/>
    </row>
    <row r="235">
      <c r="B235" s="89"/>
      <c r="C235" s="89"/>
    </row>
    <row r="236">
      <c r="B236" s="89"/>
      <c r="C236" s="89"/>
    </row>
    <row r="237">
      <c r="B237" s="89"/>
      <c r="C237" s="89"/>
    </row>
    <row r="238">
      <c r="B238" s="89"/>
      <c r="C238" s="89"/>
    </row>
    <row r="239">
      <c r="B239" s="89"/>
      <c r="C239" s="89"/>
    </row>
    <row r="240">
      <c r="B240" s="89"/>
      <c r="C240" s="89"/>
    </row>
    <row r="241">
      <c r="B241" s="89"/>
      <c r="C241" s="89"/>
    </row>
    <row r="242">
      <c r="B242" s="89"/>
      <c r="C242" s="89"/>
    </row>
    <row r="243">
      <c r="B243" s="89"/>
      <c r="C243" s="89"/>
    </row>
    <row r="244">
      <c r="B244" s="89"/>
      <c r="C244" s="89"/>
    </row>
    <row r="245">
      <c r="B245" s="89"/>
      <c r="C245" s="89"/>
    </row>
    <row r="246">
      <c r="B246" s="89"/>
      <c r="C246" s="89"/>
    </row>
    <row r="247">
      <c r="B247" s="89"/>
      <c r="C247" s="89"/>
    </row>
    <row r="248">
      <c r="B248" s="89"/>
      <c r="C248" s="89"/>
    </row>
    <row r="249">
      <c r="B249" s="89"/>
      <c r="C249" s="89"/>
    </row>
    <row r="250">
      <c r="B250" s="89"/>
      <c r="C250" s="89"/>
    </row>
    <row r="251">
      <c r="B251" s="89"/>
      <c r="C251" s="89"/>
    </row>
    <row r="252">
      <c r="B252" s="89"/>
      <c r="C252" s="89"/>
    </row>
    <row r="253">
      <c r="B253" s="89"/>
      <c r="C253" s="89"/>
    </row>
    <row r="254">
      <c r="B254" s="89"/>
      <c r="C254" s="89"/>
    </row>
    <row r="255">
      <c r="B255" s="89"/>
      <c r="C255" s="89"/>
    </row>
    <row r="256">
      <c r="B256" s="89"/>
      <c r="C256" s="89"/>
    </row>
    <row r="257">
      <c r="B257" s="89"/>
      <c r="C257" s="89"/>
    </row>
    <row r="258">
      <c r="B258" s="89"/>
      <c r="C258" s="89"/>
    </row>
    <row r="259">
      <c r="B259" s="89"/>
      <c r="C259" s="89"/>
    </row>
    <row r="260">
      <c r="B260" s="89"/>
      <c r="C260" s="89"/>
    </row>
    <row r="261">
      <c r="B261" s="89"/>
      <c r="C261" s="89"/>
    </row>
    <row r="262">
      <c r="B262" s="89"/>
      <c r="C262" s="89"/>
    </row>
    <row r="263">
      <c r="B263" s="89"/>
      <c r="C263" s="89"/>
    </row>
    <row r="264">
      <c r="B264" s="89"/>
      <c r="C264" s="89"/>
    </row>
    <row r="265">
      <c r="B265" s="89"/>
      <c r="C265" s="89"/>
    </row>
    <row r="266">
      <c r="B266" s="89"/>
      <c r="C266" s="89"/>
    </row>
    <row r="267">
      <c r="B267" s="89"/>
      <c r="C267" s="89"/>
    </row>
    <row r="268">
      <c r="B268" s="89"/>
      <c r="C268" s="89"/>
    </row>
    <row r="269">
      <c r="B269" s="89"/>
      <c r="C269" s="89"/>
    </row>
    <row r="270">
      <c r="B270" s="89"/>
      <c r="C270" s="89"/>
    </row>
    <row r="271">
      <c r="B271" s="89"/>
      <c r="C271" s="89"/>
    </row>
    <row r="272">
      <c r="B272" s="89"/>
      <c r="C272" s="89"/>
    </row>
    <row r="273">
      <c r="B273" s="89"/>
      <c r="C273" s="89"/>
    </row>
    <row r="274">
      <c r="B274" s="89"/>
      <c r="C274" s="89"/>
    </row>
    <row r="275">
      <c r="B275" s="89"/>
      <c r="C275" s="89"/>
    </row>
    <row r="276">
      <c r="B276" s="89"/>
      <c r="C276" s="89"/>
    </row>
    <row r="277">
      <c r="B277" s="89"/>
      <c r="C277" s="89"/>
    </row>
    <row r="278">
      <c r="B278" s="89"/>
      <c r="C278" s="89"/>
    </row>
    <row r="279">
      <c r="B279" s="89"/>
      <c r="C279" s="89"/>
    </row>
    <row r="280">
      <c r="B280" s="89"/>
      <c r="C280" s="89"/>
    </row>
    <row r="281">
      <c r="B281" s="89"/>
      <c r="C281" s="89"/>
    </row>
    <row r="282">
      <c r="B282" s="89"/>
      <c r="C282" s="89"/>
    </row>
    <row r="283">
      <c r="B283" s="89"/>
      <c r="C283" s="89"/>
    </row>
    <row r="284">
      <c r="B284" s="89"/>
      <c r="C284" s="89"/>
    </row>
    <row r="285">
      <c r="B285" s="89"/>
      <c r="C285" s="89"/>
    </row>
    <row r="286">
      <c r="B286" s="89"/>
      <c r="C286" s="89"/>
    </row>
    <row r="287">
      <c r="B287" s="89"/>
      <c r="C287" s="89"/>
    </row>
    <row r="288">
      <c r="B288" s="89"/>
      <c r="C288" s="89"/>
    </row>
    <row r="289">
      <c r="B289" s="89"/>
      <c r="C289" s="89"/>
    </row>
    <row r="290">
      <c r="B290" s="89"/>
      <c r="C290" s="89"/>
    </row>
    <row r="291">
      <c r="B291" s="89"/>
      <c r="C291" s="89"/>
    </row>
    <row r="292">
      <c r="B292" s="89"/>
      <c r="C292" s="89"/>
    </row>
    <row r="293">
      <c r="B293" s="89"/>
      <c r="C293" s="89"/>
    </row>
    <row r="294">
      <c r="B294" s="89"/>
      <c r="C294" s="89"/>
    </row>
    <row r="295">
      <c r="B295" s="89"/>
      <c r="C295" s="89"/>
    </row>
    <row r="296">
      <c r="B296" s="89"/>
      <c r="C296" s="89"/>
    </row>
    <row r="297">
      <c r="B297" s="89"/>
      <c r="C297" s="89"/>
    </row>
    <row r="298">
      <c r="B298" s="89"/>
      <c r="C298" s="89"/>
    </row>
    <row r="299">
      <c r="B299" s="89"/>
      <c r="C299" s="89"/>
    </row>
    <row r="300">
      <c r="B300" s="89"/>
      <c r="C300" s="89"/>
    </row>
    <row r="301">
      <c r="B301" s="89"/>
      <c r="C301" s="89"/>
    </row>
    <row r="302">
      <c r="B302" s="89"/>
      <c r="C302" s="89"/>
    </row>
    <row r="303">
      <c r="B303" s="89"/>
      <c r="C303" s="89"/>
    </row>
    <row r="304">
      <c r="B304" s="89"/>
      <c r="C304" s="89"/>
    </row>
    <row r="305">
      <c r="B305" s="89"/>
      <c r="C305" s="89"/>
    </row>
    <row r="306">
      <c r="B306" s="89"/>
      <c r="C306" s="89"/>
    </row>
    <row r="307">
      <c r="B307" s="89"/>
      <c r="C307" s="89"/>
    </row>
    <row r="308">
      <c r="B308" s="89"/>
      <c r="C308" s="89"/>
    </row>
    <row r="309">
      <c r="B309" s="89"/>
      <c r="C309" s="89"/>
    </row>
    <row r="310">
      <c r="B310" s="89"/>
      <c r="C310" s="89"/>
    </row>
    <row r="311">
      <c r="B311" s="89"/>
      <c r="C311" s="89"/>
    </row>
    <row r="312">
      <c r="B312" s="89"/>
      <c r="C312" s="89"/>
    </row>
    <row r="313">
      <c r="B313" s="89"/>
      <c r="C313" s="89"/>
    </row>
    <row r="314">
      <c r="B314" s="89"/>
      <c r="C314" s="89"/>
    </row>
    <row r="315">
      <c r="B315" s="89"/>
      <c r="C315" s="89"/>
    </row>
    <row r="316">
      <c r="B316" s="89"/>
      <c r="C316" s="89"/>
    </row>
    <row r="317">
      <c r="B317" s="89"/>
      <c r="C317" s="89"/>
    </row>
    <row r="318">
      <c r="B318" s="89"/>
      <c r="C318" s="89"/>
    </row>
    <row r="319">
      <c r="B319" s="89"/>
      <c r="C319" s="89"/>
    </row>
    <row r="320">
      <c r="B320" s="89"/>
      <c r="C320" s="89"/>
    </row>
    <row r="321">
      <c r="B321" s="89"/>
      <c r="C321" s="89"/>
    </row>
    <row r="322">
      <c r="B322" s="89"/>
      <c r="C322" s="89"/>
    </row>
    <row r="323">
      <c r="B323" s="89"/>
      <c r="C323" s="89"/>
    </row>
    <row r="324">
      <c r="B324" s="89"/>
      <c r="C324" s="89"/>
    </row>
    <row r="325">
      <c r="B325" s="89"/>
      <c r="C325" s="89"/>
    </row>
    <row r="326">
      <c r="B326" s="89"/>
      <c r="C326" s="89"/>
    </row>
    <row r="327">
      <c r="B327" s="89"/>
      <c r="C327" s="89"/>
    </row>
    <row r="328">
      <c r="B328" s="89"/>
      <c r="C328" s="89"/>
    </row>
    <row r="329">
      <c r="B329" s="89"/>
      <c r="C329" s="89"/>
    </row>
    <row r="330">
      <c r="B330" s="89"/>
      <c r="C330" s="89"/>
    </row>
    <row r="331">
      <c r="B331" s="89"/>
      <c r="C331" s="89"/>
    </row>
    <row r="332">
      <c r="B332" s="89"/>
      <c r="C332" s="89"/>
    </row>
    <row r="333">
      <c r="B333" s="89"/>
      <c r="C333" s="89"/>
    </row>
    <row r="334">
      <c r="B334" s="89"/>
      <c r="C334" s="89"/>
    </row>
    <row r="335">
      <c r="B335" s="89"/>
      <c r="C335" s="89"/>
    </row>
    <row r="336">
      <c r="B336" s="89"/>
      <c r="C336" s="89"/>
    </row>
    <row r="337">
      <c r="B337" s="89"/>
      <c r="C337" s="89"/>
    </row>
    <row r="338">
      <c r="B338" s="89"/>
      <c r="C338" s="89"/>
    </row>
    <row r="339">
      <c r="B339" s="89"/>
      <c r="C339" s="89"/>
    </row>
    <row r="340">
      <c r="B340" s="89"/>
      <c r="C340" s="89"/>
    </row>
    <row r="341">
      <c r="B341" s="89"/>
      <c r="C341" s="89"/>
    </row>
    <row r="342">
      <c r="B342" s="89"/>
      <c r="C342" s="89"/>
    </row>
    <row r="343">
      <c r="B343" s="89"/>
      <c r="C343" s="89"/>
    </row>
    <row r="344">
      <c r="B344" s="89"/>
      <c r="C344" s="89"/>
    </row>
    <row r="345">
      <c r="B345" s="89"/>
      <c r="C345" s="89"/>
    </row>
    <row r="346">
      <c r="B346" s="89"/>
      <c r="C346" s="89"/>
    </row>
    <row r="347">
      <c r="B347" s="89"/>
      <c r="C347" s="89"/>
    </row>
    <row r="348">
      <c r="B348" s="89"/>
      <c r="C348" s="89"/>
    </row>
    <row r="349">
      <c r="B349" s="89"/>
      <c r="C349" s="89"/>
    </row>
    <row r="350">
      <c r="B350" s="89"/>
      <c r="C350" s="89"/>
    </row>
    <row r="351">
      <c r="B351" s="89"/>
      <c r="C351" s="89"/>
    </row>
    <row r="352">
      <c r="B352" s="89"/>
      <c r="C352" s="89"/>
    </row>
    <row r="353">
      <c r="B353" s="89"/>
      <c r="C353" s="89"/>
    </row>
    <row r="354">
      <c r="B354" s="89"/>
      <c r="C354" s="89"/>
    </row>
    <row r="355">
      <c r="B355" s="89"/>
      <c r="C355" s="89"/>
    </row>
    <row r="356">
      <c r="B356" s="89"/>
      <c r="C356" s="89"/>
    </row>
    <row r="357">
      <c r="B357" s="89"/>
      <c r="C357" s="89"/>
    </row>
    <row r="358">
      <c r="B358" s="89"/>
      <c r="C358" s="89"/>
    </row>
    <row r="359">
      <c r="B359" s="89"/>
      <c r="C359" s="89"/>
    </row>
    <row r="360">
      <c r="B360" s="89"/>
      <c r="C360" s="89"/>
    </row>
    <row r="361">
      <c r="B361" s="89"/>
      <c r="C361" s="89"/>
    </row>
    <row r="362">
      <c r="B362" s="89"/>
      <c r="C362" s="89"/>
    </row>
    <row r="363">
      <c r="B363" s="89"/>
      <c r="C363" s="89"/>
    </row>
    <row r="364">
      <c r="B364" s="89"/>
      <c r="C364" s="89"/>
    </row>
    <row r="365">
      <c r="B365" s="89"/>
      <c r="C365" s="89"/>
    </row>
    <row r="366">
      <c r="B366" s="89"/>
      <c r="C366" s="89"/>
    </row>
    <row r="367">
      <c r="B367" s="89"/>
      <c r="C367" s="89"/>
    </row>
    <row r="368">
      <c r="B368" s="89"/>
      <c r="C368" s="89"/>
    </row>
    <row r="369">
      <c r="B369" s="89"/>
      <c r="C369" s="89"/>
    </row>
    <row r="370">
      <c r="B370" s="89"/>
      <c r="C370" s="89"/>
    </row>
    <row r="371">
      <c r="B371" s="89"/>
      <c r="C371" s="89"/>
    </row>
    <row r="372">
      <c r="B372" s="89"/>
      <c r="C372" s="89"/>
    </row>
    <row r="373">
      <c r="B373" s="89"/>
      <c r="C373" s="89"/>
    </row>
    <row r="374">
      <c r="B374" s="89"/>
      <c r="C374" s="89"/>
    </row>
    <row r="375">
      <c r="B375" s="89"/>
      <c r="C375" s="89"/>
    </row>
    <row r="376">
      <c r="B376" s="89"/>
      <c r="C376" s="89"/>
    </row>
    <row r="377">
      <c r="B377" s="89"/>
      <c r="C377" s="89"/>
    </row>
    <row r="378">
      <c r="B378" s="89"/>
      <c r="C378" s="89"/>
    </row>
    <row r="379">
      <c r="B379" s="89"/>
      <c r="C379" s="89"/>
    </row>
    <row r="380">
      <c r="B380" s="89"/>
      <c r="C380" s="89"/>
    </row>
    <row r="381">
      <c r="B381" s="89"/>
      <c r="C381" s="89"/>
    </row>
    <row r="382">
      <c r="B382" s="89"/>
      <c r="C382" s="89"/>
    </row>
    <row r="383">
      <c r="B383" s="89"/>
      <c r="C383" s="89"/>
    </row>
    <row r="384">
      <c r="B384" s="89"/>
      <c r="C384" s="89"/>
    </row>
    <row r="385">
      <c r="B385" s="89"/>
      <c r="C385" s="89"/>
    </row>
    <row r="386">
      <c r="B386" s="89"/>
      <c r="C386" s="89"/>
    </row>
    <row r="387">
      <c r="B387" s="89"/>
      <c r="C387" s="89"/>
    </row>
    <row r="388">
      <c r="B388" s="89"/>
      <c r="C388" s="89"/>
    </row>
    <row r="389">
      <c r="B389" s="89"/>
      <c r="C389" s="89"/>
    </row>
    <row r="390">
      <c r="B390" s="89"/>
      <c r="C390" s="89"/>
    </row>
    <row r="391">
      <c r="B391" s="89"/>
      <c r="C391" s="89"/>
    </row>
    <row r="392">
      <c r="B392" s="89"/>
      <c r="C392" s="89"/>
    </row>
    <row r="393">
      <c r="B393" s="89"/>
      <c r="C393" s="89"/>
    </row>
    <row r="394">
      <c r="B394" s="89"/>
      <c r="C394" s="89"/>
    </row>
    <row r="395">
      <c r="B395" s="89"/>
      <c r="C395" s="89"/>
    </row>
    <row r="396">
      <c r="B396" s="89"/>
      <c r="C396" s="89"/>
    </row>
    <row r="397">
      <c r="B397" s="89"/>
      <c r="C397" s="89"/>
    </row>
    <row r="398">
      <c r="B398" s="89"/>
      <c r="C398" s="89"/>
    </row>
    <row r="399">
      <c r="B399" s="89"/>
      <c r="C399" s="89"/>
    </row>
    <row r="400">
      <c r="B400" s="89"/>
      <c r="C400" s="89"/>
    </row>
    <row r="401">
      <c r="B401" s="89"/>
      <c r="C401" s="89"/>
    </row>
    <row r="402">
      <c r="B402" s="89"/>
      <c r="C402" s="89"/>
    </row>
    <row r="403">
      <c r="B403" s="89"/>
      <c r="C403" s="89"/>
    </row>
    <row r="404">
      <c r="B404" s="89"/>
      <c r="C404" s="89"/>
    </row>
    <row r="405">
      <c r="B405" s="89"/>
      <c r="C405" s="89"/>
    </row>
    <row r="406">
      <c r="B406" s="89"/>
      <c r="C406" s="89"/>
    </row>
    <row r="407">
      <c r="B407" s="89"/>
      <c r="C407" s="89"/>
    </row>
    <row r="408">
      <c r="B408" s="89"/>
      <c r="C408" s="89"/>
    </row>
    <row r="409">
      <c r="B409" s="89"/>
      <c r="C409" s="89"/>
    </row>
    <row r="410">
      <c r="B410" s="89"/>
      <c r="C410" s="89"/>
    </row>
    <row r="411">
      <c r="B411" s="89"/>
      <c r="C411" s="89"/>
    </row>
    <row r="412">
      <c r="B412" s="89"/>
      <c r="C412" s="89"/>
    </row>
    <row r="413">
      <c r="B413" s="89"/>
      <c r="C413" s="89"/>
    </row>
    <row r="414">
      <c r="B414" s="89"/>
      <c r="C414" s="89"/>
    </row>
    <row r="415">
      <c r="B415" s="89"/>
      <c r="C415" s="89"/>
    </row>
    <row r="416">
      <c r="B416" s="89"/>
      <c r="C416" s="89"/>
    </row>
    <row r="417">
      <c r="B417" s="89"/>
      <c r="C417" s="89"/>
    </row>
    <row r="418">
      <c r="B418" s="89"/>
      <c r="C418" s="89"/>
    </row>
    <row r="419">
      <c r="B419" s="89"/>
      <c r="C419" s="89"/>
    </row>
    <row r="420">
      <c r="B420" s="89"/>
      <c r="C420" s="89"/>
    </row>
    <row r="421">
      <c r="B421" s="89"/>
      <c r="C421" s="89"/>
    </row>
    <row r="422">
      <c r="B422" s="89"/>
      <c r="C422" s="89"/>
    </row>
    <row r="423">
      <c r="B423" s="89"/>
      <c r="C423" s="89"/>
    </row>
    <row r="424">
      <c r="B424" s="89"/>
      <c r="C424" s="89"/>
    </row>
    <row r="425">
      <c r="B425" s="89"/>
      <c r="C425" s="89"/>
    </row>
    <row r="426">
      <c r="B426" s="89"/>
      <c r="C426" s="89"/>
    </row>
    <row r="427">
      <c r="B427" s="89"/>
      <c r="C427" s="89"/>
    </row>
    <row r="428">
      <c r="B428" s="89"/>
      <c r="C428" s="89"/>
    </row>
    <row r="429">
      <c r="B429" s="89"/>
      <c r="C429" s="89"/>
    </row>
    <row r="430">
      <c r="B430" s="89"/>
      <c r="C430" s="89"/>
    </row>
    <row r="431">
      <c r="B431" s="89"/>
      <c r="C431" s="89"/>
    </row>
    <row r="432">
      <c r="B432" s="89"/>
      <c r="C432" s="89"/>
    </row>
    <row r="433">
      <c r="B433" s="89"/>
      <c r="C433" s="89"/>
    </row>
    <row r="434">
      <c r="B434" s="89"/>
      <c r="C434" s="89"/>
    </row>
    <row r="435">
      <c r="B435" s="89"/>
      <c r="C435" s="89"/>
    </row>
    <row r="436">
      <c r="B436" s="89"/>
      <c r="C436" s="89"/>
    </row>
    <row r="437">
      <c r="B437" s="89"/>
      <c r="C437" s="89"/>
    </row>
    <row r="438">
      <c r="B438" s="89"/>
      <c r="C438" s="89"/>
    </row>
    <row r="439">
      <c r="B439" s="89"/>
      <c r="C439" s="89"/>
    </row>
    <row r="440">
      <c r="B440" s="89"/>
      <c r="C440" s="89"/>
    </row>
    <row r="441">
      <c r="B441" s="89"/>
      <c r="C441" s="89"/>
    </row>
    <row r="442">
      <c r="B442" s="89"/>
      <c r="C442" s="89"/>
    </row>
    <row r="443">
      <c r="B443" s="89"/>
      <c r="C443" s="89"/>
    </row>
    <row r="444">
      <c r="B444" s="89"/>
      <c r="C444" s="89"/>
    </row>
    <row r="445">
      <c r="B445" s="89"/>
      <c r="C445" s="89"/>
    </row>
    <row r="446">
      <c r="B446" s="89"/>
      <c r="C446" s="89"/>
    </row>
    <row r="447">
      <c r="B447" s="89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    </row>
    <row r="451">
      <c r="B451" s="89"/>
      <c r="C451" s="89"/>
    </row>
    <row r="452">
      <c r="B452" s="89"/>
      <c r="C452" s="89"/>
    </row>
    <row r="453">
      <c r="B453" s="89"/>
      <c r="C453" s="89"/>
    </row>
    <row r="454">
      <c r="B454" s="89"/>
      <c r="C454" s="89"/>
    </row>
    <row r="455">
      <c r="B455" s="89"/>
      <c r="C455" s="89"/>
    </row>
    <row r="456">
      <c r="B456" s="89"/>
      <c r="C456" s="89"/>
    </row>
    <row r="457">
      <c r="B457" s="89"/>
      <c r="C457" s="89"/>
    </row>
    <row r="458">
      <c r="B458" s="89"/>
      <c r="C458" s="89"/>
    </row>
    <row r="459">
      <c r="B459" s="89"/>
      <c r="C459" s="89"/>
    </row>
    <row r="460">
      <c r="B460" s="89"/>
      <c r="C460" s="89"/>
    </row>
    <row r="461">
      <c r="B461" s="89"/>
      <c r="C461" s="89"/>
    </row>
    <row r="462">
      <c r="B462" s="89"/>
      <c r="C462" s="89"/>
    </row>
    <row r="463">
      <c r="B463" s="89"/>
      <c r="C463" s="89"/>
    </row>
    <row r="464">
      <c r="B464" s="89"/>
      <c r="C464" s="89"/>
    </row>
    <row r="465">
      <c r="B465" s="89"/>
      <c r="C465" s="89"/>
    </row>
    <row r="466">
      <c r="B466" s="89"/>
      <c r="C466" s="89"/>
    </row>
    <row r="467">
      <c r="B467" s="89"/>
      <c r="C467" s="89"/>
    </row>
    <row r="468">
      <c r="B468" s="89"/>
      <c r="C468" s="89"/>
    </row>
    <row r="469">
      <c r="B469" s="89"/>
      <c r="C469" s="89"/>
    </row>
    <row r="470">
      <c r="B470" s="89"/>
      <c r="C470" s="89"/>
    </row>
    <row r="471">
      <c r="B471" s="89"/>
      <c r="C471" s="89"/>
    </row>
    <row r="472">
      <c r="B472" s="89"/>
      <c r="C472" s="89"/>
    </row>
    <row r="473">
      <c r="B473" s="89"/>
      <c r="C473" s="89"/>
    </row>
    <row r="474">
      <c r="B474" s="89"/>
      <c r="C474" s="89"/>
    </row>
    <row r="475">
      <c r="B475" s="89"/>
      <c r="C475" s="89"/>
    </row>
    <row r="476">
      <c r="B476" s="89"/>
      <c r="C476" s="89"/>
    </row>
    <row r="477">
      <c r="B477" s="89"/>
      <c r="C477" s="89"/>
    </row>
    <row r="478">
      <c r="B478" s="89"/>
      <c r="C478" s="89"/>
    </row>
    <row r="479">
      <c r="B479" s="89"/>
      <c r="C479" s="89"/>
    </row>
    <row r="480">
      <c r="B480" s="89"/>
      <c r="C480" s="89"/>
    </row>
    <row r="481">
      <c r="B481" s="89"/>
      <c r="C481" s="89"/>
    </row>
    <row r="482">
      <c r="B482" s="89"/>
      <c r="C482" s="89"/>
    </row>
    <row r="483">
      <c r="B483" s="89"/>
      <c r="C483" s="89"/>
    </row>
    <row r="484">
      <c r="B484" s="89"/>
      <c r="C484" s="89"/>
    </row>
    <row r="485">
      <c r="B485" s="89"/>
      <c r="C485" s="89"/>
    </row>
    <row r="486">
      <c r="B486" s="89"/>
      <c r="C486" s="89"/>
    </row>
    <row r="487">
      <c r="B487" s="89"/>
      <c r="C487" s="89"/>
    </row>
    <row r="488">
      <c r="B488" s="89"/>
      <c r="C488" s="89"/>
    </row>
    <row r="489">
      <c r="B489" s="89"/>
      <c r="C489" s="89"/>
    </row>
    <row r="490">
      <c r="B490" s="89"/>
      <c r="C490" s="89"/>
    </row>
    <row r="491">
      <c r="B491" s="89"/>
      <c r="C491" s="89"/>
    </row>
    <row r="492">
      <c r="B492" s="89"/>
      <c r="C492" s="89"/>
    </row>
    <row r="493">
      <c r="B493" s="89"/>
      <c r="C493" s="89"/>
    </row>
    <row r="494">
      <c r="B494" s="89"/>
      <c r="C494" s="89"/>
    </row>
    <row r="495">
      <c r="B495" s="89"/>
      <c r="C495" s="89"/>
    </row>
    <row r="496">
      <c r="B496" s="89"/>
      <c r="C496" s="89"/>
    </row>
    <row r="497">
      <c r="B497" s="89"/>
      <c r="C497" s="89"/>
    </row>
    <row r="498">
      <c r="B498" s="89"/>
      <c r="C498" s="89"/>
    </row>
    <row r="499">
      <c r="B499" s="89"/>
      <c r="C499" s="89"/>
    </row>
    <row r="500">
      <c r="B500" s="89"/>
      <c r="C500" s="89"/>
    </row>
    <row r="501">
      <c r="B501" s="89"/>
      <c r="C501" s="89"/>
    </row>
    <row r="502">
      <c r="B502" s="89"/>
      <c r="C502" s="89"/>
    </row>
    <row r="503">
      <c r="B503" s="89"/>
      <c r="C503" s="89"/>
    </row>
    <row r="504">
      <c r="B504" s="89"/>
      <c r="C504" s="89"/>
    </row>
    <row r="505">
      <c r="B505" s="89"/>
      <c r="C505" s="89"/>
    </row>
    <row r="506">
      <c r="B506" s="89"/>
      <c r="C506" s="89"/>
    </row>
    <row r="507">
      <c r="B507" s="89"/>
      <c r="C507" s="89"/>
    </row>
    <row r="508">
      <c r="B508" s="89"/>
      <c r="C508" s="89"/>
    </row>
    <row r="509">
      <c r="B509" s="89"/>
      <c r="C509" s="89"/>
    </row>
    <row r="510">
      <c r="B510" s="89"/>
      <c r="C510" s="89"/>
    </row>
    <row r="511">
      <c r="B511" s="89"/>
      <c r="C511" s="89"/>
    </row>
    <row r="512">
      <c r="B512" s="89"/>
      <c r="C512" s="89"/>
    </row>
    <row r="513">
      <c r="B513" s="89"/>
      <c r="C513" s="89"/>
    </row>
    <row r="514">
      <c r="B514" s="89"/>
      <c r="C514" s="89"/>
    </row>
    <row r="515">
      <c r="B515" s="89"/>
      <c r="C515" s="89"/>
    </row>
    <row r="516">
      <c r="B516" s="89"/>
      <c r="C516" s="89"/>
    </row>
    <row r="517">
      <c r="B517" s="89"/>
      <c r="C517" s="89"/>
    </row>
    <row r="518">
      <c r="B518" s="89"/>
      <c r="C518" s="89"/>
    </row>
    <row r="519">
      <c r="B519" s="89"/>
      <c r="C519" s="89"/>
    </row>
    <row r="520">
      <c r="B520" s="89"/>
      <c r="C520" s="89"/>
    </row>
    <row r="521">
      <c r="B521" s="89"/>
      <c r="C521" s="89"/>
    </row>
    <row r="522">
      <c r="B522" s="89"/>
      <c r="C522" s="89"/>
    </row>
    <row r="523">
      <c r="B523" s="89"/>
      <c r="C523" s="89"/>
    </row>
    <row r="524">
      <c r="B524" s="89"/>
      <c r="C524" s="89"/>
    </row>
    <row r="525">
      <c r="B525" s="89"/>
      <c r="C525" s="89"/>
    </row>
    <row r="526">
      <c r="B526" s="89"/>
      <c r="C526" s="89"/>
    </row>
    <row r="527">
      <c r="B527" s="89"/>
      <c r="C527" s="89"/>
    </row>
    <row r="528">
      <c r="B528" s="89"/>
      <c r="C528" s="89"/>
    </row>
    <row r="529">
      <c r="B529" s="89"/>
      <c r="C529" s="89"/>
    </row>
    <row r="530">
      <c r="B530" s="89"/>
      <c r="C530" s="89"/>
    </row>
    <row r="531">
      <c r="B531" s="89"/>
      <c r="C531" s="89"/>
    </row>
    <row r="532">
      <c r="B532" s="89"/>
      <c r="C532" s="89"/>
    </row>
    <row r="533">
      <c r="B533" s="89"/>
      <c r="C533" s="89"/>
    </row>
    <row r="534">
      <c r="B534" s="89"/>
      <c r="C534" s="89"/>
    </row>
    <row r="535">
      <c r="B535" s="89"/>
      <c r="C535" s="89"/>
    </row>
    <row r="536">
      <c r="B536" s="89"/>
      <c r="C536" s="89"/>
    </row>
    <row r="537">
      <c r="B537" s="89"/>
      <c r="C537" s="89"/>
    </row>
    <row r="538">
      <c r="B538" s="89"/>
      <c r="C538" s="89"/>
    </row>
    <row r="539">
      <c r="B539" s="89"/>
      <c r="C539" s="89"/>
    </row>
    <row r="540">
      <c r="B540" s="89"/>
      <c r="C540" s="89"/>
    </row>
    <row r="541">
      <c r="B541" s="89"/>
      <c r="C541" s="89"/>
    </row>
    <row r="542">
      <c r="B542" s="89"/>
      <c r="C542" s="89"/>
    </row>
    <row r="543">
      <c r="B543" s="89"/>
      <c r="C543" s="89"/>
    </row>
    <row r="544">
      <c r="B544" s="89"/>
      <c r="C544" s="89"/>
    </row>
    <row r="545">
      <c r="B545" s="89"/>
      <c r="C545" s="89"/>
    </row>
    <row r="546">
      <c r="B546" s="89"/>
      <c r="C546" s="89"/>
    </row>
    <row r="547">
      <c r="B547" s="89"/>
      <c r="C547" s="89"/>
    </row>
    <row r="548">
      <c r="B548" s="89"/>
      <c r="C548" s="89"/>
    </row>
    <row r="549">
      <c r="B549" s="89"/>
      <c r="C549" s="89"/>
    </row>
    <row r="550">
      <c r="B550" s="89"/>
      <c r="C550" s="89"/>
    </row>
    <row r="551">
      <c r="B551" s="89"/>
      <c r="C551" s="89"/>
    </row>
    <row r="552">
      <c r="B552" s="89"/>
      <c r="C552" s="89"/>
    </row>
    <row r="553">
      <c r="B553" s="89"/>
      <c r="C553" s="89"/>
    </row>
    <row r="554">
      <c r="B554" s="89"/>
      <c r="C554" s="89"/>
    </row>
    <row r="555">
      <c r="B555" s="89"/>
      <c r="C555" s="89"/>
    </row>
    <row r="556">
      <c r="B556" s="89"/>
      <c r="C556" s="89"/>
    </row>
    <row r="557">
      <c r="B557" s="89"/>
      <c r="C557" s="89"/>
    </row>
    <row r="558">
      <c r="B558" s="89"/>
      <c r="C558" s="89"/>
    </row>
    <row r="559">
      <c r="B559" s="89"/>
      <c r="C559" s="89"/>
    </row>
    <row r="560">
      <c r="B560" s="89"/>
      <c r="C560" s="89"/>
    </row>
    <row r="561">
      <c r="B561" s="89"/>
      <c r="C561" s="89"/>
    </row>
    <row r="562">
      <c r="B562" s="89"/>
      <c r="C562" s="89"/>
    </row>
    <row r="563">
      <c r="B563" s="89"/>
      <c r="C563" s="89"/>
    </row>
    <row r="564">
      <c r="B564" s="89"/>
      <c r="C564" s="89"/>
    </row>
    <row r="565">
      <c r="B565" s="89"/>
      <c r="C565" s="89"/>
    </row>
    <row r="566">
      <c r="B566" s="89"/>
      <c r="C566" s="89"/>
    </row>
    <row r="567">
      <c r="B567" s="89"/>
      <c r="C567" s="89"/>
    </row>
    <row r="568">
      <c r="B568" s="89"/>
      <c r="C568" s="89"/>
    </row>
    <row r="569">
      <c r="B569" s="89"/>
      <c r="C569" s="89"/>
    </row>
    <row r="570">
      <c r="B570" s="89"/>
      <c r="C570" s="89"/>
    </row>
    <row r="571">
      <c r="B571" s="89"/>
      <c r="C571" s="89"/>
    </row>
    <row r="572">
      <c r="B572" s="89"/>
      <c r="C572" s="89"/>
    </row>
    <row r="573">
      <c r="B573" s="89"/>
      <c r="C573" s="89"/>
    </row>
    <row r="574">
      <c r="B574" s="89"/>
      <c r="C574" s="89"/>
    </row>
    <row r="575">
      <c r="B575" s="89"/>
      <c r="C575" s="89"/>
    </row>
    <row r="576">
      <c r="B576" s="89"/>
      <c r="C576" s="89"/>
    </row>
    <row r="577">
      <c r="B577" s="89"/>
      <c r="C577" s="89"/>
    </row>
    <row r="578">
      <c r="B578" s="89"/>
      <c r="C578" s="89"/>
    </row>
    <row r="579">
      <c r="B579" s="89"/>
      <c r="C579" s="89"/>
    </row>
    <row r="580">
      <c r="B580" s="89"/>
      <c r="C580" s="89"/>
    </row>
    <row r="581">
      <c r="B581" s="89"/>
      <c r="C581" s="89"/>
    </row>
    <row r="582">
      <c r="B582" s="89"/>
      <c r="C582" s="89"/>
    </row>
    <row r="583">
      <c r="B583" s="89"/>
      <c r="C583" s="89"/>
    </row>
    <row r="584">
      <c r="B584" s="89"/>
      <c r="C584" s="89"/>
    </row>
    <row r="585">
      <c r="B585" s="89"/>
      <c r="C585" s="89"/>
    </row>
    <row r="586">
      <c r="B586" s="89"/>
      <c r="C586" s="89"/>
    </row>
    <row r="587">
      <c r="B587" s="89"/>
      <c r="C587" s="89"/>
    </row>
    <row r="588">
      <c r="B588" s="89"/>
      <c r="C588" s="89"/>
    </row>
    <row r="589">
      <c r="B589" s="89"/>
      <c r="C589" s="89"/>
    </row>
    <row r="590">
      <c r="B590" s="89"/>
      <c r="C590" s="89"/>
    </row>
    <row r="591">
      <c r="B591" s="89"/>
      <c r="C591" s="89"/>
    </row>
    <row r="592">
      <c r="B592" s="89"/>
      <c r="C592" s="89"/>
    </row>
    <row r="593">
      <c r="B593" s="89"/>
      <c r="C593" s="89"/>
    </row>
    <row r="594">
      <c r="B594" s="89"/>
      <c r="C594" s="89"/>
    </row>
    <row r="595">
      <c r="B595" s="89"/>
      <c r="C595" s="89"/>
    </row>
    <row r="596">
      <c r="B596" s="89"/>
      <c r="C596" s="89"/>
    </row>
    <row r="597">
      <c r="B597" s="89"/>
      <c r="C597" s="89"/>
    </row>
    <row r="598">
      <c r="B598" s="89"/>
      <c r="C598" s="89"/>
    </row>
    <row r="599">
      <c r="B599" s="89"/>
      <c r="C599" s="89"/>
    </row>
    <row r="600">
      <c r="B600" s="89"/>
      <c r="C600" s="89"/>
    </row>
    <row r="601">
      <c r="B601" s="89"/>
      <c r="C601" s="89"/>
    </row>
    <row r="602">
      <c r="B602" s="89"/>
      <c r="C602" s="89"/>
    </row>
    <row r="603">
      <c r="B603" s="89"/>
      <c r="C603" s="89"/>
    </row>
    <row r="604">
      <c r="B604" s="89"/>
      <c r="C604" s="89"/>
    </row>
    <row r="605">
      <c r="B605" s="89"/>
      <c r="C605" s="89"/>
    </row>
    <row r="606">
      <c r="B606" s="89"/>
      <c r="C606" s="89"/>
    </row>
    <row r="607">
      <c r="B607" s="89"/>
      <c r="C607" s="89"/>
    </row>
    <row r="608">
      <c r="B608" s="89"/>
      <c r="C608" s="89"/>
    </row>
    <row r="609">
      <c r="B609" s="89"/>
      <c r="C609" s="89"/>
    </row>
    <row r="610">
      <c r="B610" s="89"/>
      <c r="C610" s="89"/>
    </row>
    <row r="611">
      <c r="B611" s="89"/>
      <c r="C611" s="89"/>
    </row>
    <row r="612">
      <c r="B612" s="89"/>
      <c r="C612" s="89"/>
    </row>
    <row r="613">
      <c r="B613" s="89"/>
      <c r="C613" s="89"/>
    </row>
    <row r="614">
      <c r="B614" s="89"/>
      <c r="C614" s="89"/>
    </row>
    <row r="615">
      <c r="B615" s="89"/>
      <c r="C615" s="89"/>
    </row>
    <row r="616">
      <c r="B616" s="89"/>
      <c r="C616" s="89"/>
    </row>
    <row r="617">
      <c r="B617" s="89"/>
      <c r="C617" s="89"/>
    </row>
    <row r="618">
      <c r="B618" s="89"/>
      <c r="C618" s="89"/>
    </row>
    <row r="619">
      <c r="B619" s="89"/>
      <c r="C619" s="89"/>
    </row>
    <row r="620">
      <c r="B620" s="89"/>
      <c r="C620" s="89"/>
    </row>
    <row r="621">
      <c r="B621" s="89"/>
      <c r="C621" s="89"/>
    </row>
    <row r="622">
      <c r="B622" s="89"/>
      <c r="C622" s="89"/>
    </row>
    <row r="623">
      <c r="B623" s="89"/>
      <c r="C623" s="89"/>
    </row>
    <row r="624">
      <c r="B624" s="89"/>
      <c r="C624" s="89"/>
    </row>
    <row r="625">
      <c r="B625" s="89"/>
      <c r="C625" s="89"/>
    </row>
    <row r="626">
      <c r="B626" s="89"/>
      <c r="C626" s="89"/>
    </row>
    <row r="627">
      <c r="B627" s="89"/>
      <c r="C627" s="89"/>
    </row>
    <row r="628">
      <c r="B628" s="89"/>
      <c r="C628" s="89"/>
    </row>
    <row r="629">
      <c r="B629" s="89"/>
      <c r="C629" s="89"/>
    </row>
    <row r="630">
      <c r="B630" s="89"/>
      <c r="C630" s="89"/>
    </row>
    <row r="631">
      <c r="B631" s="89"/>
      <c r="C631" s="89"/>
    </row>
    <row r="632">
      <c r="B632" s="89"/>
      <c r="C632" s="89"/>
    </row>
    <row r="633">
      <c r="B633" s="89"/>
      <c r="C633" s="89"/>
    </row>
    <row r="634">
      <c r="B634" s="89"/>
      <c r="C634" s="89"/>
    </row>
    <row r="635">
      <c r="B635" s="89"/>
      <c r="C635" s="89"/>
    </row>
    <row r="636">
      <c r="B636" s="89"/>
      <c r="C636" s="89"/>
    </row>
    <row r="637">
      <c r="B637" s="89"/>
      <c r="C637" s="89"/>
    </row>
    <row r="638">
      <c r="B638" s="89"/>
      <c r="C638" s="89"/>
    </row>
    <row r="639">
      <c r="B639" s="89"/>
      <c r="C639" s="89"/>
    </row>
    <row r="640">
      <c r="B640" s="89"/>
      <c r="C640" s="89"/>
    </row>
    <row r="641">
      <c r="B641" s="89"/>
      <c r="C641" s="89"/>
    </row>
    <row r="642">
      <c r="B642" s="89"/>
      <c r="C642" s="89"/>
    </row>
    <row r="643">
      <c r="B643" s="89"/>
      <c r="C643" s="89"/>
    </row>
    <row r="644">
      <c r="B644" s="89"/>
      <c r="C644" s="89"/>
    </row>
    <row r="645">
      <c r="B645" s="89"/>
      <c r="C645" s="89"/>
    </row>
    <row r="646">
      <c r="B646" s="89"/>
      <c r="C646" s="89"/>
    </row>
    <row r="647">
      <c r="B647" s="89"/>
      <c r="C647" s="89"/>
    </row>
    <row r="648">
      <c r="B648" s="89"/>
      <c r="C648" s="89"/>
    </row>
    <row r="649">
      <c r="B649" s="89"/>
      <c r="C649" s="89"/>
    </row>
    <row r="650">
      <c r="B650" s="89"/>
      <c r="C650" s="89"/>
    </row>
    <row r="651">
      <c r="B651" s="89"/>
      <c r="C651" s="89"/>
    </row>
    <row r="652">
      <c r="B652" s="89"/>
      <c r="C652" s="89"/>
    </row>
    <row r="653">
      <c r="B653" s="89"/>
      <c r="C653" s="89"/>
    </row>
    <row r="654">
      <c r="B654" s="89"/>
      <c r="C654" s="89"/>
    </row>
    <row r="655">
      <c r="B655" s="89"/>
      <c r="C655" s="89"/>
    </row>
    <row r="656">
      <c r="B656" s="89"/>
      <c r="C656" s="89"/>
    </row>
    <row r="657">
      <c r="B657" s="89"/>
      <c r="C657" s="89"/>
    </row>
    <row r="658">
      <c r="B658" s="89"/>
      <c r="C658" s="89"/>
    </row>
    <row r="659">
      <c r="B659" s="89"/>
      <c r="C659" s="89"/>
    </row>
    <row r="660">
      <c r="B660" s="89"/>
      <c r="C660" s="89"/>
    </row>
    <row r="661">
      <c r="B661" s="89"/>
      <c r="C661" s="89"/>
    </row>
    <row r="662">
      <c r="B662" s="89"/>
      <c r="C662" s="89"/>
    </row>
    <row r="663">
      <c r="B663" s="89"/>
      <c r="C663" s="89"/>
    </row>
    <row r="664">
      <c r="B664" s="89"/>
      <c r="C664" s="89"/>
    </row>
    <row r="665">
      <c r="B665" s="89"/>
      <c r="C665" s="89"/>
    </row>
    <row r="666">
      <c r="B666" s="89"/>
      <c r="C666" s="89"/>
    </row>
    <row r="667">
      <c r="B667" s="89"/>
      <c r="C667" s="89"/>
    </row>
    <row r="668">
      <c r="B668" s="89"/>
      <c r="C668" s="89"/>
    </row>
    <row r="669">
      <c r="B669" s="89"/>
      <c r="C669" s="89"/>
    </row>
    <row r="670">
      <c r="B670" s="89"/>
      <c r="C670" s="89"/>
    </row>
    <row r="671">
      <c r="B671" s="89"/>
      <c r="C671" s="89"/>
    </row>
    <row r="672">
      <c r="B672" s="89"/>
      <c r="C672" s="89"/>
    </row>
    <row r="673">
      <c r="B673" s="89"/>
      <c r="C673" s="89"/>
    </row>
    <row r="674">
      <c r="B674" s="89"/>
      <c r="C674" s="89"/>
    </row>
    <row r="675">
      <c r="B675" s="89"/>
      <c r="C675" s="89"/>
    </row>
    <row r="676">
      <c r="B676" s="89"/>
      <c r="C676" s="89"/>
    </row>
    <row r="677">
      <c r="B677" s="89"/>
      <c r="C677" s="89"/>
    </row>
    <row r="678">
      <c r="B678" s="89"/>
      <c r="C678" s="89"/>
    </row>
    <row r="679">
      <c r="B679" s="89"/>
      <c r="C679" s="89"/>
    </row>
    <row r="680">
      <c r="B680" s="89"/>
      <c r="C680" s="89"/>
    </row>
    <row r="681">
      <c r="B681" s="89"/>
      <c r="C681" s="89"/>
    </row>
    <row r="682">
      <c r="B682" s="89"/>
      <c r="C682" s="89"/>
    </row>
    <row r="683">
      <c r="B683" s="89"/>
      <c r="C683" s="89"/>
    </row>
    <row r="684">
      <c r="B684" s="89"/>
      <c r="C684" s="89"/>
    </row>
    <row r="685">
      <c r="B685" s="89"/>
      <c r="C685" s="89"/>
    </row>
    <row r="686">
      <c r="B686" s="89"/>
      <c r="C686" s="89"/>
    </row>
    <row r="687">
      <c r="B687" s="89"/>
      <c r="C687" s="89"/>
    </row>
    <row r="688">
      <c r="B688" s="89"/>
      <c r="C688" s="89"/>
    </row>
    <row r="689">
      <c r="B689" s="89"/>
      <c r="C689" s="89"/>
    </row>
    <row r="690">
      <c r="B690" s="89"/>
      <c r="C690" s="89"/>
    </row>
    <row r="691">
      <c r="B691" s="89"/>
      <c r="C691" s="89"/>
    </row>
    <row r="692">
      <c r="B692" s="89"/>
      <c r="C692" s="89"/>
    </row>
    <row r="693">
      <c r="B693" s="89"/>
      <c r="C693" s="89"/>
    </row>
    <row r="694">
      <c r="B694" s="89"/>
      <c r="C694" s="89"/>
    </row>
    <row r="695">
      <c r="B695" s="89"/>
      <c r="C695" s="89"/>
    </row>
    <row r="696">
      <c r="B696" s="89"/>
      <c r="C696" s="89"/>
    </row>
    <row r="697">
      <c r="B697" s="89"/>
      <c r="C697" s="89"/>
    </row>
    <row r="698">
      <c r="B698" s="89"/>
      <c r="C698" s="89"/>
    </row>
    <row r="699">
      <c r="B699" s="89"/>
      <c r="C699" s="89"/>
    </row>
    <row r="700">
      <c r="B700" s="89"/>
      <c r="C700" s="89"/>
    </row>
    <row r="701">
      <c r="B701" s="89"/>
      <c r="C701" s="89"/>
    </row>
    <row r="702">
      <c r="B702" s="89"/>
      <c r="C702" s="89"/>
    </row>
    <row r="703">
      <c r="B703" s="89"/>
      <c r="C703" s="89"/>
    </row>
    <row r="704">
      <c r="B704" s="89"/>
      <c r="C704" s="89"/>
    </row>
    <row r="705">
      <c r="B705" s="89"/>
      <c r="C705" s="89"/>
    </row>
    <row r="706">
      <c r="B706" s="89"/>
      <c r="C706" s="89"/>
    </row>
    <row r="707">
      <c r="B707" s="89"/>
      <c r="C707" s="89"/>
    </row>
    <row r="708">
      <c r="B708" s="89"/>
      <c r="C708" s="89"/>
    </row>
    <row r="709">
      <c r="B709" s="89"/>
      <c r="C709" s="89"/>
    </row>
    <row r="710">
      <c r="B710" s="89"/>
      <c r="C710" s="89"/>
    </row>
    <row r="711">
      <c r="B711" s="89"/>
      <c r="C711" s="89"/>
    </row>
    <row r="712">
      <c r="B712" s="89"/>
      <c r="C712" s="89"/>
    </row>
    <row r="713">
      <c r="B713" s="89"/>
      <c r="C713" s="89"/>
    </row>
    <row r="714">
      <c r="B714" s="89"/>
      <c r="C714" s="89"/>
    </row>
    <row r="715">
      <c r="B715" s="89"/>
      <c r="C715" s="89"/>
    </row>
    <row r="716">
      <c r="B716" s="89"/>
      <c r="C716" s="89"/>
    </row>
    <row r="717">
      <c r="B717" s="89"/>
      <c r="C717" s="89"/>
    </row>
    <row r="718">
      <c r="B718" s="89"/>
      <c r="C718" s="89"/>
    </row>
    <row r="719">
      <c r="B719" s="89"/>
      <c r="C719" s="89"/>
    </row>
    <row r="720">
      <c r="B720" s="89"/>
      <c r="C720" s="89"/>
    </row>
    <row r="721">
      <c r="B721" s="89"/>
      <c r="C721" s="89"/>
    </row>
    <row r="722">
      <c r="B722" s="89"/>
      <c r="C722" s="89"/>
    </row>
    <row r="723">
      <c r="B723" s="89"/>
      <c r="C723" s="89"/>
    </row>
    <row r="724">
      <c r="B724" s="89"/>
      <c r="C724" s="89"/>
    </row>
    <row r="725">
      <c r="B725" s="89"/>
      <c r="C725" s="89"/>
    </row>
    <row r="726">
      <c r="B726" s="89"/>
      <c r="C726" s="89"/>
    </row>
    <row r="727">
      <c r="B727" s="89"/>
      <c r="C727" s="89"/>
    </row>
    <row r="728">
      <c r="B728" s="89"/>
      <c r="C728" s="89"/>
    </row>
    <row r="729">
      <c r="B729" s="89"/>
      <c r="C729" s="89"/>
    </row>
    <row r="730">
      <c r="B730" s="89"/>
      <c r="C730" s="89"/>
    </row>
    <row r="731">
      <c r="B731" s="89"/>
      <c r="C731" s="89"/>
    </row>
    <row r="732">
      <c r="B732" s="89"/>
      <c r="C732" s="89"/>
    </row>
    <row r="733">
      <c r="B733" s="89"/>
      <c r="C733" s="89"/>
    </row>
    <row r="734">
      <c r="B734" s="89"/>
      <c r="C734" s="89"/>
    </row>
    <row r="735">
      <c r="B735" s="89"/>
      <c r="C735" s="89"/>
    </row>
    <row r="736">
      <c r="B736" s="89"/>
      <c r="C736" s="89"/>
    </row>
    <row r="737">
      <c r="B737" s="89"/>
      <c r="C737" s="89"/>
    </row>
    <row r="738">
      <c r="B738" s="89"/>
      <c r="C738" s="89"/>
    </row>
    <row r="739">
      <c r="B739" s="89"/>
      <c r="C739" s="89"/>
    </row>
    <row r="740">
      <c r="B740" s="89"/>
      <c r="C740" s="89"/>
    </row>
    <row r="741">
      <c r="B741" s="89"/>
      <c r="C741" s="89"/>
    </row>
    <row r="742">
      <c r="B742" s="89"/>
      <c r="C742" s="89"/>
    </row>
    <row r="743">
      <c r="B743" s="89"/>
      <c r="C743" s="89"/>
    </row>
    <row r="744">
      <c r="B744" s="89"/>
      <c r="C744" s="89"/>
    </row>
    <row r="745">
      <c r="B745" s="89"/>
      <c r="C745" s="89"/>
    </row>
    <row r="746">
      <c r="B746" s="89"/>
      <c r="C746" s="89"/>
    </row>
    <row r="747">
      <c r="B747" s="89"/>
      <c r="C747" s="89"/>
    </row>
    <row r="748">
      <c r="B748" s="89"/>
      <c r="C748" s="89"/>
    </row>
    <row r="749">
      <c r="B749" s="89"/>
      <c r="C749" s="89"/>
    </row>
    <row r="750">
      <c r="B750" s="89"/>
      <c r="C750" s="89"/>
    </row>
    <row r="751">
      <c r="B751" s="89"/>
      <c r="C751" s="89"/>
    </row>
    <row r="752">
      <c r="B752" s="89"/>
      <c r="C752" s="89"/>
    </row>
    <row r="753">
      <c r="B753" s="89"/>
      <c r="C753" s="89"/>
    </row>
    <row r="754">
      <c r="B754" s="89"/>
      <c r="C754" s="89"/>
    </row>
    <row r="755">
      <c r="B755" s="89"/>
      <c r="C755" s="89"/>
    </row>
    <row r="756">
      <c r="B756" s="89"/>
      <c r="C756" s="89"/>
    </row>
    <row r="757">
      <c r="B757" s="89"/>
      <c r="C757" s="89"/>
    </row>
    <row r="758">
      <c r="B758" s="89"/>
      <c r="C758" s="89"/>
    </row>
    <row r="759">
      <c r="B759" s="89"/>
      <c r="C759" s="89"/>
    </row>
    <row r="760">
      <c r="B760" s="89"/>
      <c r="C760" s="89"/>
    </row>
    <row r="761">
      <c r="B761" s="89"/>
      <c r="C761" s="89"/>
    </row>
    <row r="762">
      <c r="B762" s="89"/>
      <c r="C762" s="89"/>
    </row>
    <row r="763">
      <c r="B763" s="89"/>
      <c r="C763" s="89"/>
    </row>
    <row r="764">
      <c r="B764" s="89"/>
      <c r="C764" s="89"/>
    </row>
    <row r="765">
      <c r="B765" s="89"/>
      <c r="C765" s="89"/>
    </row>
    <row r="766">
      <c r="B766" s="89"/>
      <c r="C766" s="89"/>
    </row>
    <row r="767">
      <c r="B767" s="89"/>
      <c r="C767" s="89"/>
    </row>
    <row r="768">
      <c r="B768" s="89"/>
      <c r="C768" s="89"/>
    </row>
    <row r="769">
      <c r="B769" s="89"/>
      <c r="C769" s="89"/>
    </row>
    <row r="770">
      <c r="B770" s="89"/>
      <c r="C770" s="89"/>
    </row>
    <row r="771">
      <c r="B771" s="89"/>
      <c r="C771" s="89"/>
    </row>
    <row r="772">
      <c r="B772" s="89"/>
      <c r="C772" s="89"/>
    </row>
    <row r="773">
      <c r="B773" s="89"/>
      <c r="C773" s="89"/>
    </row>
    <row r="774">
      <c r="B774" s="89"/>
      <c r="C774" s="89"/>
    </row>
    <row r="775">
      <c r="B775" s="89"/>
      <c r="C775" s="89"/>
    </row>
    <row r="776">
      <c r="B776" s="89"/>
      <c r="C776" s="89"/>
    </row>
    <row r="777">
      <c r="B777" s="89"/>
      <c r="C777" s="89"/>
    </row>
    <row r="778">
      <c r="B778" s="89"/>
      <c r="C778" s="89"/>
    </row>
    <row r="779">
      <c r="B779" s="89"/>
      <c r="C779" s="89"/>
    </row>
    <row r="780">
      <c r="B780" s="89"/>
      <c r="C780" s="89"/>
    </row>
    <row r="781">
      <c r="B781" s="89"/>
      <c r="C781" s="89"/>
    </row>
    <row r="782">
      <c r="B782" s="89"/>
      <c r="C782" s="89"/>
    </row>
    <row r="783">
      <c r="B783" s="89"/>
      <c r="C783" s="89"/>
    </row>
    <row r="784">
      <c r="B784" s="89"/>
      <c r="C784" s="89"/>
    </row>
    <row r="785">
      <c r="B785" s="89"/>
      <c r="C785" s="89"/>
    </row>
    <row r="786">
      <c r="B786" s="89"/>
      <c r="C786" s="89"/>
    </row>
    <row r="787">
      <c r="B787" s="89"/>
      <c r="C787" s="89"/>
    </row>
    <row r="788">
      <c r="B788" s="89"/>
      <c r="C788" s="89"/>
    </row>
    <row r="789">
      <c r="B789" s="89"/>
      <c r="C789" s="89"/>
    </row>
    <row r="790">
      <c r="B790" s="89"/>
      <c r="C790" s="89"/>
    </row>
    <row r="791">
      <c r="B791" s="89"/>
      <c r="C791" s="89"/>
    </row>
    <row r="792">
      <c r="B792" s="89"/>
      <c r="C792" s="89"/>
    </row>
    <row r="793">
      <c r="B793" s="89"/>
      <c r="C793" s="89"/>
    </row>
    <row r="794">
      <c r="B794" s="89"/>
      <c r="C794" s="89"/>
    </row>
    <row r="795">
      <c r="B795" s="89"/>
      <c r="C795" s="89"/>
    </row>
    <row r="796">
      <c r="B796" s="89"/>
      <c r="C796" s="89"/>
    </row>
    <row r="797">
      <c r="B797" s="89"/>
      <c r="C797" s="89"/>
    </row>
    <row r="798">
      <c r="B798" s="89"/>
      <c r="C798" s="89"/>
    </row>
    <row r="799">
      <c r="B799" s="89"/>
      <c r="C799" s="89"/>
    </row>
    <row r="800">
      <c r="B800" s="89"/>
      <c r="C800" s="89"/>
    </row>
    <row r="801">
      <c r="B801" s="89"/>
      <c r="C801" s="89"/>
    </row>
    <row r="802">
      <c r="B802" s="89"/>
      <c r="C802" s="89"/>
    </row>
    <row r="803">
      <c r="B803" s="89"/>
      <c r="C803" s="89"/>
    </row>
    <row r="804">
      <c r="B804" s="89"/>
      <c r="C804" s="89"/>
    </row>
    <row r="805">
      <c r="B805" s="89"/>
      <c r="C805" s="89"/>
    </row>
    <row r="806">
      <c r="B806" s="89"/>
      <c r="C806" s="89"/>
    </row>
    <row r="807">
      <c r="B807" s="89"/>
      <c r="C807" s="89"/>
    </row>
    <row r="808">
      <c r="B808" s="89"/>
      <c r="C808" s="89"/>
    </row>
    <row r="809">
      <c r="B809" s="89"/>
      <c r="C809" s="89"/>
    </row>
    <row r="810">
      <c r="B810" s="89"/>
      <c r="C810" s="89"/>
    </row>
    <row r="811">
      <c r="B811" s="89"/>
      <c r="C811" s="89"/>
    </row>
    <row r="812">
      <c r="B812" s="89"/>
      <c r="C812" s="89"/>
    </row>
    <row r="813">
      <c r="B813" s="89"/>
      <c r="C813" s="89"/>
    </row>
    <row r="814">
      <c r="B814" s="89"/>
      <c r="C814" s="89"/>
    </row>
    <row r="815">
      <c r="B815" s="89"/>
      <c r="C815" s="89"/>
    </row>
    <row r="816">
      <c r="B816" s="89"/>
      <c r="C816" s="89"/>
    </row>
    <row r="817">
      <c r="B817" s="89"/>
      <c r="C817" s="89"/>
    </row>
    <row r="818">
      <c r="B818" s="89"/>
      <c r="C818" s="89"/>
    </row>
    <row r="819">
      <c r="B819" s="89"/>
      <c r="C819" s="89"/>
    </row>
    <row r="820">
      <c r="B820" s="89"/>
      <c r="C820" s="89"/>
    </row>
    <row r="821">
      <c r="B821" s="89"/>
      <c r="C821" s="89"/>
    </row>
    <row r="822">
      <c r="B822" s="89"/>
      <c r="C822" s="89"/>
    </row>
    <row r="823">
      <c r="B823" s="89"/>
      <c r="C823" s="89"/>
    </row>
    <row r="824">
      <c r="B824" s="89"/>
      <c r="C824" s="89"/>
    </row>
    <row r="825">
      <c r="B825" s="89"/>
      <c r="C825" s="89"/>
    </row>
    <row r="826">
      <c r="B826" s="89"/>
      <c r="C826" s="89"/>
    </row>
    <row r="827">
      <c r="B827" s="89"/>
      <c r="C827" s="89"/>
    </row>
    <row r="828">
      <c r="B828" s="89"/>
      <c r="C828" s="89"/>
    </row>
    <row r="829">
      <c r="B829" s="89"/>
      <c r="C829" s="89"/>
    </row>
    <row r="830">
      <c r="B830" s="89"/>
      <c r="C830" s="89"/>
    </row>
    <row r="831">
      <c r="B831" s="89"/>
      <c r="C831" s="89"/>
    </row>
    <row r="832">
      <c r="B832" s="89"/>
      <c r="C832" s="89"/>
    </row>
    <row r="833">
      <c r="B833" s="89"/>
      <c r="C833" s="89"/>
    </row>
    <row r="834">
      <c r="B834" s="89"/>
      <c r="C834" s="89"/>
    </row>
    <row r="835">
      <c r="B835" s="89"/>
      <c r="C835" s="89"/>
    </row>
    <row r="836">
      <c r="B836" s="89"/>
      <c r="C836" s="89"/>
    </row>
    <row r="837">
      <c r="B837" s="89"/>
      <c r="C837" s="89"/>
    </row>
    <row r="838">
      <c r="B838" s="89"/>
      <c r="C838" s="89"/>
    </row>
    <row r="839">
      <c r="B839" s="89"/>
      <c r="C839" s="89"/>
    </row>
    <row r="840">
      <c r="B840" s="89"/>
      <c r="C840" s="89"/>
    </row>
    <row r="841">
      <c r="B841" s="89"/>
      <c r="C841" s="89"/>
    </row>
    <row r="842">
      <c r="B842" s="89"/>
      <c r="C842" s="89"/>
    </row>
    <row r="843">
      <c r="B843" s="89"/>
      <c r="C843" s="89"/>
    </row>
    <row r="844">
      <c r="B844" s="89"/>
      <c r="C844" s="89"/>
    </row>
    <row r="845">
      <c r="B845" s="89"/>
      <c r="C845" s="89"/>
    </row>
    <row r="846">
      <c r="B846" s="89"/>
      <c r="C846" s="89"/>
    </row>
    <row r="847">
      <c r="B847" s="89"/>
      <c r="C847" s="89"/>
    </row>
    <row r="848">
      <c r="B848" s="89"/>
      <c r="C848" s="89"/>
    </row>
    <row r="849">
      <c r="B849" s="89"/>
      <c r="C849" s="89"/>
    </row>
    <row r="850">
      <c r="B850" s="89"/>
      <c r="C850" s="89"/>
    </row>
    <row r="851">
      <c r="B851" s="89"/>
      <c r="C851" s="89"/>
    </row>
    <row r="852">
      <c r="B852" s="89"/>
      <c r="C852" s="89"/>
    </row>
    <row r="853">
      <c r="B853" s="89"/>
      <c r="C853" s="89"/>
    </row>
    <row r="854">
      <c r="B854" s="89"/>
      <c r="C854" s="89"/>
    </row>
    <row r="855">
      <c r="B855" s="89"/>
      <c r="C855" s="89"/>
    </row>
    <row r="856">
      <c r="B856" s="89"/>
      <c r="C856" s="89"/>
    </row>
    <row r="857">
      <c r="B857" s="89"/>
      <c r="C857" s="89"/>
    </row>
    <row r="858">
      <c r="B858" s="89"/>
      <c r="C858" s="89"/>
    </row>
    <row r="859">
      <c r="B859" s="89"/>
      <c r="C859" s="89"/>
    </row>
    <row r="860">
      <c r="B860" s="89"/>
      <c r="C860" s="89"/>
    </row>
    <row r="861">
      <c r="B861" s="89"/>
      <c r="C861" s="89"/>
    </row>
    <row r="862">
      <c r="B862" s="89"/>
      <c r="C862" s="89"/>
    </row>
    <row r="863">
      <c r="B863" s="89"/>
      <c r="C863" s="89"/>
    </row>
    <row r="864">
      <c r="B864" s="89"/>
      <c r="C864" s="89"/>
    </row>
    <row r="865">
      <c r="B865" s="89"/>
      <c r="C865" s="89"/>
    </row>
    <row r="866">
      <c r="B866" s="89"/>
      <c r="C866" s="89"/>
    </row>
    <row r="867">
      <c r="B867" s="89"/>
      <c r="C867" s="89"/>
    </row>
    <row r="868">
      <c r="B868" s="89"/>
      <c r="C868" s="89"/>
    </row>
    <row r="869">
      <c r="B869" s="89"/>
      <c r="C869" s="89"/>
    </row>
    <row r="870">
      <c r="B870" s="89"/>
      <c r="C870" s="89"/>
    </row>
    <row r="871">
      <c r="B871" s="89"/>
      <c r="C871" s="89"/>
    </row>
    <row r="872">
      <c r="B872" s="89"/>
      <c r="C872" s="89"/>
    </row>
    <row r="873">
      <c r="B873" s="89"/>
      <c r="C873" s="89"/>
    </row>
    <row r="874">
      <c r="B874" s="89"/>
      <c r="C874" s="89"/>
    </row>
    <row r="875">
      <c r="B875" s="89"/>
      <c r="C875" s="89"/>
    </row>
    <row r="876">
      <c r="B876" s="89"/>
      <c r="C876" s="89"/>
    </row>
    <row r="877">
      <c r="B877" s="89"/>
      <c r="C877" s="89"/>
    </row>
    <row r="878">
      <c r="B878" s="89"/>
      <c r="C878" s="89"/>
    </row>
    <row r="879">
      <c r="B879" s="89"/>
      <c r="C879" s="89"/>
    </row>
    <row r="880">
      <c r="B880" s="89"/>
      <c r="C880" s="89"/>
    </row>
    <row r="881">
      <c r="B881" s="89"/>
      <c r="C881" s="89"/>
    </row>
    <row r="882">
      <c r="B882" s="89"/>
      <c r="C882" s="89"/>
    </row>
    <row r="883">
      <c r="B883" s="89"/>
      <c r="C883" s="89"/>
    </row>
    <row r="884">
      <c r="B884" s="89"/>
      <c r="C884" s="89"/>
    </row>
    <row r="885">
      <c r="B885" s="89"/>
      <c r="C885" s="89"/>
    </row>
    <row r="886">
      <c r="B886" s="89"/>
      <c r="C886" s="89"/>
    </row>
    <row r="887">
      <c r="B887" s="89"/>
      <c r="C887" s="89"/>
    </row>
    <row r="888">
      <c r="B888" s="89"/>
      <c r="C888" s="89"/>
    </row>
    <row r="889">
      <c r="B889" s="89"/>
      <c r="C889" s="89"/>
    </row>
    <row r="890">
      <c r="B890" s="89"/>
      <c r="C890" s="89"/>
    </row>
    <row r="891">
      <c r="B891" s="89"/>
      <c r="C891" s="89"/>
    </row>
    <row r="892">
      <c r="B892" s="89"/>
      <c r="C892" s="89"/>
    </row>
    <row r="893">
      <c r="B893" s="89"/>
      <c r="C893" s="89"/>
    </row>
    <row r="894">
      <c r="B894" s="89"/>
      <c r="C894" s="89"/>
    </row>
    <row r="895">
      <c r="B895" s="89"/>
      <c r="C895" s="89"/>
    </row>
    <row r="896">
      <c r="B896" s="89"/>
      <c r="C896" s="89"/>
    </row>
    <row r="897">
      <c r="B897" s="89"/>
      <c r="C897" s="89"/>
    </row>
    <row r="898">
      <c r="B898" s="89"/>
      <c r="C898" s="89"/>
    </row>
    <row r="899">
      <c r="B899" s="89"/>
      <c r="C899" s="89"/>
    </row>
    <row r="900">
      <c r="B900" s="89"/>
      <c r="C900" s="89"/>
    </row>
    <row r="901">
      <c r="B901" s="89"/>
      <c r="C901" s="89"/>
    </row>
    <row r="902">
      <c r="B902" s="89"/>
      <c r="C902" s="89"/>
    </row>
    <row r="903">
      <c r="B903" s="89"/>
      <c r="C903" s="89"/>
    </row>
    <row r="904">
      <c r="B904" s="89"/>
      <c r="C904" s="89"/>
    </row>
    <row r="905">
      <c r="B905" s="89"/>
      <c r="C905" s="89"/>
    </row>
    <row r="906">
      <c r="B906" s="89"/>
      <c r="C906" s="89"/>
    </row>
    <row r="907">
      <c r="B907" s="89"/>
      <c r="C907" s="89"/>
    </row>
    <row r="908">
      <c r="B908" s="89"/>
      <c r="C908" s="89"/>
    </row>
    <row r="909">
      <c r="B909" s="89"/>
      <c r="C909" s="89"/>
    </row>
    <row r="910">
      <c r="B910" s="89"/>
      <c r="C910" s="89"/>
    </row>
    <row r="911">
      <c r="B911" s="89"/>
      <c r="C911" s="89"/>
    </row>
    <row r="912">
      <c r="B912" s="89"/>
      <c r="C912" s="89"/>
    </row>
    <row r="913">
      <c r="B913" s="89"/>
      <c r="C913" s="89"/>
    </row>
    <row r="914">
      <c r="B914" s="89"/>
      <c r="C914" s="89"/>
    </row>
    <row r="915">
      <c r="B915" s="89"/>
      <c r="C915" s="89"/>
    </row>
    <row r="916">
      <c r="B916" s="89"/>
      <c r="C916" s="89"/>
    </row>
    <row r="917">
      <c r="B917" s="89"/>
      <c r="C917" s="89"/>
    </row>
    <row r="918">
      <c r="B918" s="89"/>
      <c r="C918" s="89"/>
    </row>
    <row r="919">
      <c r="B919" s="89"/>
      <c r="C919" s="89"/>
    </row>
    <row r="920">
      <c r="B920" s="89"/>
      <c r="C920" s="89"/>
    </row>
    <row r="921">
      <c r="B921" s="89"/>
      <c r="C921" s="89"/>
    </row>
    <row r="922">
      <c r="B922" s="89"/>
      <c r="C922" s="89"/>
    </row>
    <row r="923">
      <c r="B923" s="89"/>
      <c r="C923" s="89"/>
    </row>
    <row r="924">
      <c r="B924" s="89"/>
      <c r="C924" s="89"/>
    </row>
    <row r="925">
      <c r="B925" s="89"/>
      <c r="C925" s="89"/>
    </row>
    <row r="926">
      <c r="B926" s="89"/>
      <c r="C926" s="89"/>
    </row>
    <row r="927">
      <c r="B927" s="89"/>
      <c r="C927" s="89"/>
    </row>
    <row r="928">
      <c r="B928" s="89"/>
      <c r="C928" s="89"/>
    </row>
    <row r="929">
      <c r="B929" s="89"/>
      <c r="C929" s="89"/>
    </row>
    <row r="930">
      <c r="B930" s="89"/>
      <c r="C930" s="89"/>
    </row>
    <row r="931">
      <c r="B931" s="89"/>
      <c r="C931" s="89"/>
    </row>
    <row r="932">
      <c r="B932" s="89"/>
      <c r="C932" s="89"/>
    </row>
    <row r="933">
      <c r="B933" s="89"/>
      <c r="C933" s="89"/>
    </row>
    <row r="934">
      <c r="B934" s="89"/>
      <c r="C934" s="89"/>
    </row>
    <row r="935">
      <c r="B935" s="89"/>
      <c r="C935" s="89"/>
    </row>
    <row r="936">
      <c r="B936" s="89"/>
      <c r="C936" s="89"/>
    </row>
    <row r="937">
      <c r="B937" s="89"/>
      <c r="C937" s="89"/>
    </row>
    <row r="938">
      <c r="B938" s="89"/>
      <c r="C938" s="89"/>
    </row>
    <row r="939">
      <c r="B939" s="89"/>
      <c r="C939" s="89"/>
    </row>
    <row r="940">
      <c r="B940" s="89"/>
      <c r="C940" s="89"/>
    </row>
    <row r="941">
      <c r="B941" s="89"/>
      <c r="C941" s="89"/>
    </row>
    <row r="942">
      <c r="B942" s="89"/>
      <c r="C942" s="89"/>
    </row>
    <row r="943">
      <c r="B943" s="89"/>
      <c r="C943" s="89"/>
    </row>
    <row r="944">
      <c r="B944" s="89"/>
      <c r="C944" s="89"/>
    </row>
    <row r="945">
      <c r="B945" s="89"/>
      <c r="C945" s="89"/>
    </row>
    <row r="946">
      <c r="B946" s="89"/>
      <c r="C946" s="89"/>
    </row>
    <row r="947">
      <c r="B947" s="89"/>
      <c r="C947" s="89"/>
    </row>
    <row r="948">
      <c r="B948" s="89"/>
      <c r="C948" s="89"/>
    </row>
    <row r="949">
      <c r="B949" s="89"/>
      <c r="C949" s="89"/>
    </row>
    <row r="950">
      <c r="B950" s="89"/>
      <c r="C950" s="89"/>
    </row>
    <row r="951">
      <c r="B951" s="89"/>
      <c r="C951" s="89"/>
    </row>
    <row r="952">
      <c r="B952" s="89"/>
      <c r="C952" s="89"/>
    </row>
    <row r="953">
      <c r="B953" s="89"/>
      <c r="C953" s="89"/>
    </row>
    <row r="954">
      <c r="B954" s="89"/>
      <c r="C954" s="89"/>
    </row>
    <row r="955">
      <c r="B955" s="89"/>
      <c r="C955" s="89"/>
    </row>
    <row r="956">
      <c r="B956" s="89"/>
      <c r="C956" s="89"/>
    </row>
    <row r="957">
      <c r="B957" s="89"/>
      <c r="C957" s="89"/>
    </row>
    <row r="958">
      <c r="B958" s="89"/>
      <c r="C958" s="89"/>
    </row>
    <row r="959">
      <c r="B959" s="89"/>
      <c r="C959" s="89"/>
    </row>
    <row r="960">
      <c r="B960" s="89"/>
      <c r="C960" s="89"/>
    </row>
    <row r="961">
      <c r="B961" s="89"/>
      <c r="C961" s="89"/>
    </row>
    <row r="962">
      <c r="B962" s="89"/>
      <c r="C962" s="89"/>
    </row>
    <row r="963">
      <c r="B963" s="89"/>
      <c r="C963" s="89"/>
    </row>
    <row r="964">
      <c r="B964" s="89"/>
      <c r="C964" s="89"/>
    </row>
    <row r="965">
      <c r="B965" s="89"/>
      <c r="C965" s="89"/>
    </row>
    <row r="966">
      <c r="B966" s="89"/>
      <c r="C966" s="89"/>
    </row>
    <row r="967">
      <c r="B967" s="89"/>
      <c r="C967" s="89"/>
    </row>
    <row r="968">
      <c r="B968" s="89"/>
      <c r="C968" s="89"/>
    </row>
    <row r="969">
      <c r="B969" s="89"/>
      <c r="C969" s="89"/>
    </row>
    <row r="970">
      <c r="B970" s="89"/>
      <c r="C970" s="89"/>
    </row>
    <row r="971">
      <c r="B971" s="89"/>
      <c r="C971" s="89"/>
    </row>
    <row r="972">
      <c r="B972" s="89"/>
      <c r="C972" s="89"/>
    </row>
    <row r="973">
      <c r="B973" s="89"/>
      <c r="C973" s="89"/>
    </row>
    <row r="974">
      <c r="B974" s="89"/>
      <c r="C974" s="89"/>
    </row>
    <row r="975">
      <c r="B975" s="89"/>
      <c r="C975" s="89"/>
    </row>
    <row r="976">
      <c r="B976" s="89"/>
      <c r="C976" s="89"/>
    </row>
    <row r="977">
      <c r="B977" s="89"/>
      <c r="C977" s="89"/>
    </row>
    <row r="978">
      <c r="B978" s="89"/>
      <c r="C978" s="89"/>
    </row>
    <row r="979">
      <c r="B979" s="89"/>
      <c r="C979" s="89"/>
    </row>
    <row r="980">
      <c r="B980" s="89"/>
      <c r="C980" s="89"/>
    </row>
    <row r="981">
      <c r="B981" s="89"/>
      <c r="C981" s="89"/>
    </row>
    <row r="982">
      <c r="B982" s="89"/>
      <c r="C982" s="89"/>
    </row>
    <row r="983">
      <c r="B983" s="89"/>
      <c r="C983" s="89"/>
    </row>
    <row r="984">
      <c r="B984" s="89"/>
      <c r="C984" s="89"/>
    </row>
    <row r="985">
      <c r="B985" s="89"/>
      <c r="C985" s="89"/>
    </row>
    <row r="986">
      <c r="B986" s="89"/>
      <c r="C986" s="89"/>
    </row>
    <row r="987">
      <c r="B987" s="89"/>
      <c r="C987" s="89"/>
    </row>
    <row r="988">
      <c r="B988" s="89"/>
      <c r="C988" s="89"/>
    </row>
    <row r="989">
      <c r="B989" s="89"/>
      <c r="C989" s="89"/>
    </row>
    <row r="990">
      <c r="B990" s="89"/>
      <c r="C990" s="89"/>
    </row>
    <row r="991">
      <c r="B991" s="89"/>
      <c r="C991" s="89"/>
    </row>
    <row r="992">
      <c r="B992" s="89"/>
      <c r="C992" s="89"/>
    </row>
    <row r="993">
      <c r="B993" s="89"/>
      <c r="C993" s="89"/>
    </row>
    <row r="994">
      <c r="B994" s="89"/>
      <c r="C994" s="89"/>
    </row>
    <row r="995">
      <c r="B995" s="89"/>
      <c r="C995" s="89"/>
    </row>
    <row r="996">
      <c r="B996" s="89"/>
      <c r="C996" s="89"/>
    </row>
    <row r="997">
      <c r="B997" s="89"/>
      <c r="C997" s="89"/>
    </row>
    <row r="998">
      <c r="B998" s="89"/>
      <c r="C998" s="89"/>
    </row>
    <row r="999">
      <c r="B999" s="89"/>
      <c r="C999" s="89"/>
    </row>
    <row r="1000">
      <c r="B1000" s="89"/>
      <c r="C1000" s="89"/>
    </row>
    <row r="1001">
      <c r="B1001" s="89"/>
      <c r="C1001" s="89"/>
    </row>
    <row r="1002">
      <c r="B1002" s="89"/>
      <c r="C1002" s="89"/>
    </row>
  </sheetData>
  <hyperlinks>
    <hyperlink r:id="rId1" ref="B52"/>
  </hyperlinks>
  <drawing r:id="rId2"/>
</worksheet>
</file>